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ummary MOB3+" sheetId="2" state="visible" r:id="rId4"/>
    <sheet name="Transitions" sheetId="3" state="visible" r:id="rId5"/>
    <sheet name="Data" sheetId="4" state="visible" r:id="rId6"/>
    <sheet name="Ghi chú" sheetId="5" state="visible" r:id="rId7"/>
  </sheets>
  <definedNames>
    <definedName function="false" hidden="true" localSheetId="3" name="_xlnm._FilterDatabase" vbProcedure="false">Data!$A$1:$L$334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<sst xmlns="http://schemas.openxmlformats.org/spreadsheetml/2006/main" count="3350" uniqueCount="103">
  <si>
    <t xml:space="preserve">Tỷ lệ BD Grade B- — T8 / T9 / T10 MTD (15/10/2026) — toàn bộ BD có grade</t>
  </si>
  <si>
    <t xml:space="preserve">%B- = #B- ÷ #BD có grade hợp lệ (A+/A/B+/B/B-/C) trong tháng. Loại grade "-" (MOB0) và ô trống (chưa vào / đã nghỉ). Công thức COUNTIFS trỏ về sheet Data.</t>
  </si>
  <si>
    <t xml:space="preserve">Total</t>
  </si>
  <si>
    <t xml:space="preserve">T8</t>
  </si>
  <si>
    <t xml:space="preserve">T9</t>
  </si>
  <si>
    <t xml:space="preserve">T10 MTD</t>
  </si>
  <si>
    <t xml:space="preserve">Δ %B- T10 vs T8</t>
  </si>
  <si>
    <t xml:space="preserve">#B-</t>
  </si>
  <si>
    <t xml:space="preserve">#Graded</t>
  </si>
  <si>
    <t xml:space="preserve">%B-</t>
  </si>
  <si>
    <t xml:space="preserve">(điểm %)</t>
  </si>
  <si>
    <t xml:space="preserve">Region</t>
  </si>
  <si>
    <t xml:space="preserve">North</t>
  </si>
  <si>
    <t xml:space="preserve">South</t>
  </si>
  <si>
    <t xml:space="preserve">Segment</t>
  </si>
  <si>
    <t xml:space="preserve">FS</t>
  </si>
  <si>
    <t xml:space="preserve">SME</t>
  </si>
  <si>
    <t xml:space="preserve">BCI</t>
  </si>
  <si>
    <t xml:space="preserve">Region × Segment</t>
  </si>
  <si>
    <t xml:space="preserve">North-FS</t>
  </si>
  <si>
    <t xml:space="preserve">North-SME</t>
  </si>
  <si>
    <t xml:space="preserve">South-FS</t>
  </si>
  <si>
    <t xml:space="preserve">South-SME</t>
  </si>
  <si>
    <t xml:space="preserve">South-BCI</t>
  </si>
  <si>
    <t xml:space="preserve">Team</t>
  </si>
  <si>
    <t xml:space="preserve">HN-F1</t>
  </si>
  <si>
    <t xml:space="preserve">HN-F2</t>
  </si>
  <si>
    <t xml:space="preserve">HN-F3</t>
  </si>
  <si>
    <t xml:space="preserve">HN-F4</t>
  </si>
  <si>
    <t xml:space="preserve">HN-F5</t>
  </si>
  <si>
    <t xml:space="preserve">HN-F6</t>
  </si>
  <si>
    <t xml:space="preserve">HN-FX</t>
  </si>
  <si>
    <t xml:space="preserve">HN1</t>
  </si>
  <si>
    <t xml:space="preserve">HN2</t>
  </si>
  <si>
    <t xml:space="preserve">HN3</t>
  </si>
  <si>
    <t xml:space="preserve">HN4</t>
  </si>
  <si>
    <t xml:space="preserve">HN5</t>
  </si>
  <si>
    <t xml:space="preserve">HN6</t>
  </si>
  <si>
    <t xml:space="preserve">North-F1</t>
  </si>
  <si>
    <t xml:space="preserve">BCI HCM</t>
  </si>
  <si>
    <t xml:space="preserve">HCM-F1</t>
  </si>
  <si>
    <t xml:space="preserve">HCM1</t>
  </si>
  <si>
    <t xml:space="preserve">HCM2</t>
  </si>
  <si>
    <t xml:space="preserve">HCM3</t>
  </si>
  <si>
    <t xml:space="preserve">HCM4</t>
  </si>
  <si>
    <t xml:space="preserve">HCM5</t>
  </si>
  <si>
    <t xml:space="preserve">Lưu ý: team chỉ 10–14 BD → 1 BD ≈ 7–10 điểm %. T10 là MTD 15/10, chưa chốt tháng.</t>
  </si>
  <si>
    <t xml:space="preserve">Tỷ lệ BD Grade B- — T8 / T9 / T10 MTD (15/10/2026) — chỉ BD MOB3+</t>
  </si>
  <si>
    <t xml:space="preserve">Ma trận dịch chuyển grade (số BD) — hàng = tháng trước, cột = tháng sau</t>
  </si>
  <si>
    <t xml:space="preserve">T8 → T9</t>
  </si>
  <si>
    <t xml:space="preserve">Từ \ Đến</t>
  </si>
  <si>
    <t xml:space="preserve">A+</t>
  </si>
  <si>
    <t xml:space="preserve">A</t>
  </si>
  <si>
    <t xml:space="preserve">B+</t>
  </si>
  <si>
    <t xml:space="preserve">B</t>
  </si>
  <si>
    <t xml:space="preserve">B-</t>
  </si>
  <si>
    <t xml:space="preserve">C</t>
  </si>
  <si>
    <t xml:space="preserve">-</t>
  </si>
  <si>
    <t xml:space="preserve">(trống)</t>
  </si>
  <si>
    <t xml:space="preserve">Tổng</t>
  </si>
  <si>
    <t xml:space="preserve">Số phận BD B- (T8)</t>
  </si>
  <si>
    <t xml:space="preserve">Lên ≥B</t>
  </si>
  <si>
    <t xml:space="preserve">Giữ B-</t>
  </si>
  <si>
    <t xml:space="preserve">Rớt C</t>
  </si>
  <si>
    <t xml:space="preserve">Không còn grade / nghỉ</t>
  </si>
  <si>
    <t xml:space="preserve">Tổng B-</t>
  </si>
  <si>
    <t xml:space="preserve">Nguồn BD B- (T9)</t>
  </si>
  <si>
    <t xml:space="preserve">Rớt từ ≥B</t>
  </si>
  <si>
    <t xml:space="preserve">Lên từ C</t>
  </si>
  <si>
    <t xml:space="preserve">BD mới / chưa grade</t>
  </si>
  <si>
    <t xml:space="preserve">T9 → T10 MTD</t>
  </si>
  <si>
    <t xml:space="preserve">Số phận BD B- (T9)</t>
  </si>
  <si>
    <t xml:space="preserve">Nguồn BD B- (T10 MTD)</t>
  </si>
  <si>
    <t xml:space="preserve">No</t>
  </si>
  <si>
    <t xml:space="preserve">Status T10 MTD</t>
  </si>
  <si>
    <t xml:space="preserve">Status T9</t>
  </si>
  <si>
    <t xml:space="preserve">MOB T8</t>
  </si>
  <si>
    <t xml:space="preserve">MOB T9</t>
  </si>
  <si>
    <t xml:space="preserve">MOB T10</t>
  </si>
  <si>
    <t xml:space="preserve">Grade T8</t>
  </si>
  <si>
    <t xml:space="preserve">Grade T9</t>
  </si>
  <si>
    <t xml:space="preserve">Grade T10 MTD</t>
  </si>
  <si>
    <t xml:space="preserve">Active</t>
  </si>
  <si>
    <t xml:space="preserve">MOB3+</t>
  </si>
  <si>
    <t xml:space="preserve">MOB1</t>
  </si>
  <si>
    <t xml:space="preserve">MOB2</t>
  </si>
  <si>
    <t xml:space="preserve">MOB0</t>
  </si>
  <si>
    <t xml:space="preserve">Inactive</t>
  </si>
  <si>
    <t xml:space="preserve">Ghi chú phương pháp</t>
  </si>
  <si>
    <t xml:space="preserve">Nguồn</t>
  </si>
  <si>
    <t xml:space="preserve">Google Sheet "[Internal SC] Grade C monitoring" → sheet "[SC] Data raw C movement" (lấy 16/10/2026). M-2 = T8, M-1 = T9, MTD = T10 chốt 15/10/2026.</t>
  </si>
  <si>
    <t xml:space="preserve">Phạm vi</t>
  </si>
  <si>
    <t xml:space="preserve">333 BD có trong sheet nguồn (gồm cả BD đã nghỉ trong kỳ). Đã bỏ email BD.</t>
  </si>
  <si>
    <t xml:space="preserve">Định nghĩa %B-</t>
  </si>
  <si>
    <t xml:space="preserve">#BD grade B- ÷ #BD có grade A+/A/B+/B/B-/C trong tháng đó. Loại grade "-" (MOB0) và ô trống.</t>
  </si>
  <si>
    <t xml:space="preserve">Giả định – Region</t>
  </si>
  <si>
    <t xml:space="preserve">Suy từ tên team: HN*/North* → North; HCM*/BCI HCM → South.</t>
  </si>
  <si>
    <t xml:space="preserve">Giả định – Team/Segment</t>
  </si>
  <si>
    <t xml:space="preserve">Theo team MTD (hoặc team cuối cùng nếu đã nghỉ). BD chuyển team trong kỳ được tính vào team hiện tại.</t>
  </si>
  <si>
    <t xml:space="preserve">Giới hạn</t>
  </si>
  <si>
    <t xml:space="preserve">T10 là MTD 15/10, chưa chốt. Team 10–14 BD → 1 BD ≈ 7–10 điểm %, đọc như tín hiệu, không phải kết luận.</t>
  </si>
  <si>
    <t xml:space="preserve">Cách cập nhật</t>
  </si>
  <si>
    <t xml:space="preserve">Dán đè data mới vào sheet Data (giữ đúng cột). Các sheet Summary và Transitions tự tính lại bằng COUNTIFS. Nếu số dòng tăng, mở rộng range trong công thức (hiện tới dòng 334).</t>
  </si>
</sst>
</file>

<file path=xl/styles.xml><?xml version="1.0" encoding="utf-8"?>
<styleSheet xmlns="http://schemas.openxmlformats.org/spreadsheetml/2006/main">
  <numFmts count="5">
    <numFmt numFmtId="164" formatCode="General"/>
    <numFmt numFmtId="165" formatCode="General"/>
    <numFmt numFmtId="166" formatCode="0.0%"/>
    <numFmt numFmtId="167" formatCode="\+0.0;\-0.0;0.0"/>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2"/>
      <name val="Arial"/>
      <family val="0"/>
      <charset val="1"/>
    </font>
    <font>
      <b val="true"/>
      <sz val="11"/>
      <color rgb="FFFFFFFF"/>
      <name val="Arial"/>
      <family val="0"/>
      <charset val="1"/>
    </font>
    <font>
      <b val="true"/>
      <sz val="11"/>
      <name val="Arial"/>
      <family val="0"/>
      <charset val="1"/>
    </font>
    <font>
      <sz val="11"/>
      <name val="Arial"/>
      <family val="0"/>
      <charset val="1"/>
    </font>
    <font>
      <i val="true"/>
      <sz val="9"/>
      <color rgb="FFC00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DEBF7"/>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6" fontId="8" fillId="3" borderId="1" xfId="0" applyFont="true" applyBorder="true" applyAlignment="true" applyProtection="false">
      <alignment horizontal="center" vertical="bottom" textRotation="0" wrapText="false" indent="0" shrinkToFit="false"/>
      <protection locked="true" hidden="false"/>
    </xf>
    <xf numFmtId="167" fontId="8"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0" min="2" style="0" width="9.51"/>
    <col collapsed="false" customWidth="true" hidden="false" outlineLevel="0" max="11" min="11" style="0" width="1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2</v>
      </c>
      <c r="B5" s="4" t="s">
        <v>3</v>
      </c>
      <c r="C5" s="4"/>
      <c r="D5" s="4"/>
      <c r="E5" s="4" t="s">
        <v>4</v>
      </c>
      <c r="F5" s="4"/>
      <c r="G5" s="4"/>
      <c r="H5" s="4" t="s">
        <v>5</v>
      </c>
      <c r="I5" s="4"/>
      <c r="J5" s="4"/>
      <c r="K5" s="4" t="s">
        <v>6</v>
      </c>
    </row>
    <row r="6" customFormat="false" ht="15" hidden="false" customHeight="false" outlineLevel="0" collapsed="false">
      <c r="A6" s="4"/>
      <c r="B6" s="4" t="s">
        <v>7</v>
      </c>
      <c r="C6" s="4" t="s">
        <v>8</v>
      </c>
      <c r="D6" s="4" t="s">
        <v>9</v>
      </c>
      <c r="E6" s="4" t="s">
        <v>7</v>
      </c>
      <c r="F6" s="4" t="s">
        <v>8</v>
      </c>
      <c r="G6" s="4" t="s">
        <v>9</v>
      </c>
      <c r="H6" s="4" t="s">
        <v>7</v>
      </c>
      <c r="I6" s="4" t="s">
        <v>8</v>
      </c>
      <c r="J6" s="4" t="s">
        <v>9</v>
      </c>
      <c r="K6" s="4" t="s">
        <v>10</v>
      </c>
    </row>
    <row r="7" customFormat="false" ht="15" hidden="false" customHeight="false" outlineLevel="0" collapsed="false">
      <c r="A7" s="5" t="s">
        <v>2</v>
      </c>
      <c r="B7" s="6" t="n">
        <f aca="false">COUNTIFS(Data!$J$2:$J$334,"B-")</f>
        <v>22</v>
      </c>
      <c r="C7" s="6" t="n">
        <f aca="false">SUMPRODUCT(COUNTIFS(Data!$J$2:$J$334,{"A+","A","B+","B","B-","C"}))</f>
        <v>231</v>
      </c>
      <c r="D7" s="7" t="n">
        <f aca="false">IF(C7=0,"",B7/C7)</f>
        <v>0.0952380952380952</v>
      </c>
      <c r="E7" s="6" t="n">
        <f aca="false">COUNTIFS(Data!$K$2:$K$334,"B-")</f>
        <v>23</v>
      </c>
      <c r="F7" s="6" t="n">
        <f aca="false">SUMPRODUCT(COUNTIFS(Data!$K$2:$K$334,{"A+","A","B+","B","B-","C"}))</f>
        <v>249</v>
      </c>
      <c r="G7" s="7" t="n">
        <f aca="false">IF(F7=0,"",E7/F7)</f>
        <v>0.0923694779116466</v>
      </c>
      <c r="H7" s="6" t="n">
        <f aca="false">COUNTIFS(Data!$L$2:$L$334,"B-")</f>
        <v>25</v>
      </c>
      <c r="I7" s="6" t="n">
        <f aca="false">SUMPRODUCT(COUNTIFS(Data!$L$2:$L$334,{"A+","A","B+","B","B-","C"}))</f>
        <v>243</v>
      </c>
      <c r="J7" s="7" t="n">
        <f aca="false">IF(I7=0,"",H7/I7)</f>
        <v>0.102880658436214</v>
      </c>
      <c r="K7" s="8" t="n">
        <f aca="false">IF(OR(D7="",J7=""),"",(J7-D7)*100)</f>
        <v>0.764256319811876</v>
      </c>
    </row>
    <row r="9" customFormat="false" ht="15" hidden="false" customHeight="false" outlineLevel="0" collapsed="false">
      <c r="A9" s="3" t="s">
        <v>11</v>
      </c>
    </row>
    <row r="10" customFormat="false" ht="15" hidden="false" customHeight="false" outlineLevel="0" collapsed="false">
      <c r="A10" s="4" t="s">
        <v>11</v>
      </c>
      <c r="B10" s="4" t="s">
        <v>3</v>
      </c>
      <c r="C10" s="4"/>
      <c r="D10" s="4"/>
      <c r="E10" s="4" t="s">
        <v>4</v>
      </c>
      <c r="F10" s="4"/>
      <c r="G10" s="4"/>
      <c r="H10" s="4" t="s">
        <v>5</v>
      </c>
      <c r="I10" s="4"/>
      <c r="J10" s="4"/>
      <c r="K10" s="4" t="s">
        <v>6</v>
      </c>
    </row>
    <row r="11" customFormat="false" ht="15" hidden="false" customHeight="false" outlineLevel="0" collapsed="false">
      <c r="A11" s="4"/>
      <c r="B11" s="4" t="s">
        <v>7</v>
      </c>
      <c r="C11" s="4" t="s">
        <v>8</v>
      </c>
      <c r="D11" s="4" t="s">
        <v>9</v>
      </c>
      <c r="E11" s="4" t="s">
        <v>7</v>
      </c>
      <c r="F11" s="4" t="s">
        <v>8</v>
      </c>
      <c r="G11" s="4" t="s">
        <v>9</v>
      </c>
      <c r="H11" s="4" t="s">
        <v>7</v>
      </c>
      <c r="I11" s="4" t="s">
        <v>8</v>
      </c>
      <c r="J11" s="4" t="s">
        <v>9</v>
      </c>
      <c r="K11" s="4" t="s">
        <v>10</v>
      </c>
    </row>
    <row r="12" customFormat="false" ht="15" hidden="false" customHeight="false" outlineLevel="0" collapsed="false">
      <c r="A12" s="9" t="s">
        <v>12</v>
      </c>
      <c r="B12" s="10" t="n">
        <f aca="false">COUNTIFS(Data!$J$2:$J$334,"B-",Data!$C$2:$C$334,"North")</f>
        <v>17</v>
      </c>
      <c r="C12" s="10" t="n">
        <f aca="false">SUMPRODUCT(COUNTIFS(Data!$J$2:$J$334,{"A+","A","B+","B","B-","C"},Data!$C$2:$C$334,"North"))</f>
        <v>143</v>
      </c>
      <c r="D12" s="11" t="n">
        <f aca="false">IF(C12=0,"",B12/C12)</f>
        <v>0.118881118881119</v>
      </c>
      <c r="E12" s="10" t="n">
        <f aca="false">COUNTIFS(Data!$K$2:$K$334,"B-",Data!$C$2:$C$334,"North")</f>
        <v>13</v>
      </c>
      <c r="F12" s="10" t="n">
        <f aca="false">SUMPRODUCT(COUNTIFS(Data!$K$2:$K$334,{"A+","A","B+","B","B-","C"},Data!$C$2:$C$334,"North"))</f>
        <v>150</v>
      </c>
      <c r="G12" s="11" t="n">
        <f aca="false">IF(F12=0,"",E12/F12)</f>
        <v>0.0866666666666667</v>
      </c>
      <c r="H12" s="10" t="n">
        <f aca="false">COUNTIFS(Data!$L$2:$L$334,"B-",Data!$C$2:$C$334,"North")</f>
        <v>11</v>
      </c>
      <c r="I12" s="10" t="n">
        <f aca="false">SUMPRODUCT(COUNTIFS(Data!$L$2:$L$334,{"A+","A","B+","B","B-","C"},Data!$C$2:$C$334,"North"))</f>
        <v>146</v>
      </c>
      <c r="J12" s="11" t="n">
        <f aca="false">IF(I12=0,"",H12/I12)</f>
        <v>0.0753424657534247</v>
      </c>
      <c r="K12" s="12" t="n">
        <f aca="false">IF(OR(D12="",J12=""),"",(J12-D12)*100)</f>
        <v>-4.35386531276942</v>
      </c>
    </row>
    <row r="13" customFormat="false" ht="15" hidden="false" customHeight="false" outlineLevel="0" collapsed="false">
      <c r="A13" s="9" t="s">
        <v>13</v>
      </c>
      <c r="B13" s="10" t="n">
        <f aca="false">COUNTIFS(Data!$J$2:$J$334,"B-",Data!$C$2:$C$334,"South")</f>
        <v>5</v>
      </c>
      <c r="C13" s="10" t="n">
        <f aca="false">SUMPRODUCT(COUNTIFS(Data!$J$2:$J$334,{"A+","A","B+","B","B-","C"},Data!$C$2:$C$334,"South"))</f>
        <v>88</v>
      </c>
      <c r="D13" s="11" t="n">
        <f aca="false">IF(C13=0,"",B13/C13)</f>
        <v>0.0568181818181818</v>
      </c>
      <c r="E13" s="10" t="n">
        <f aca="false">COUNTIFS(Data!$K$2:$K$334,"B-",Data!$C$2:$C$334,"South")</f>
        <v>10</v>
      </c>
      <c r="F13" s="10" t="n">
        <f aca="false">SUMPRODUCT(COUNTIFS(Data!$K$2:$K$334,{"A+","A","B+","B","B-","C"},Data!$C$2:$C$334,"South"))</f>
        <v>99</v>
      </c>
      <c r="G13" s="11" t="n">
        <f aca="false">IF(F13=0,"",E13/F13)</f>
        <v>0.101010101010101</v>
      </c>
      <c r="H13" s="10" t="n">
        <f aca="false">COUNTIFS(Data!$L$2:$L$334,"B-",Data!$C$2:$C$334,"South")</f>
        <v>14</v>
      </c>
      <c r="I13" s="10" t="n">
        <f aca="false">SUMPRODUCT(COUNTIFS(Data!$L$2:$L$334,{"A+","A","B+","B","B-","C"},Data!$C$2:$C$334,"South"))</f>
        <v>97</v>
      </c>
      <c r="J13" s="11" t="n">
        <f aca="false">IF(I13=0,"",H13/I13)</f>
        <v>0.144329896907216</v>
      </c>
      <c r="K13" s="12" t="n">
        <f aca="false">IF(OR(D13="",J13=""),"",(J13-D13)*100)</f>
        <v>8.75117150890347</v>
      </c>
    </row>
    <row r="15" customFormat="false" ht="15" hidden="false" customHeight="false" outlineLevel="0" collapsed="false">
      <c r="A15" s="3" t="s">
        <v>14</v>
      </c>
    </row>
    <row r="16" customFormat="false" ht="15" hidden="false" customHeight="false" outlineLevel="0" collapsed="false">
      <c r="A16" s="4" t="s">
        <v>14</v>
      </c>
      <c r="B16" s="4" t="s">
        <v>3</v>
      </c>
      <c r="C16" s="4"/>
      <c r="D16" s="4"/>
      <c r="E16" s="4" t="s">
        <v>4</v>
      </c>
      <c r="F16" s="4"/>
      <c r="G16" s="4"/>
      <c r="H16" s="4" t="s">
        <v>5</v>
      </c>
      <c r="I16" s="4"/>
      <c r="J16" s="4"/>
      <c r="K16" s="4" t="s">
        <v>6</v>
      </c>
    </row>
    <row r="17" customFormat="false" ht="15" hidden="false" customHeight="false" outlineLevel="0" collapsed="false">
      <c r="A17" s="4"/>
      <c r="B17" s="4" t="s">
        <v>7</v>
      </c>
      <c r="C17" s="4" t="s">
        <v>8</v>
      </c>
      <c r="D17" s="4" t="s">
        <v>9</v>
      </c>
      <c r="E17" s="4" t="s">
        <v>7</v>
      </c>
      <c r="F17" s="4" t="s">
        <v>8</v>
      </c>
      <c r="G17" s="4" t="s">
        <v>9</v>
      </c>
      <c r="H17" s="4" t="s">
        <v>7</v>
      </c>
      <c r="I17" s="4" t="s">
        <v>8</v>
      </c>
      <c r="J17" s="4" t="s">
        <v>9</v>
      </c>
      <c r="K17" s="4" t="s">
        <v>10</v>
      </c>
    </row>
    <row r="18" customFormat="false" ht="15" hidden="false" customHeight="false" outlineLevel="0" collapsed="false">
      <c r="A18" s="9" t="s">
        <v>15</v>
      </c>
      <c r="B18" s="10" t="n">
        <f aca="false">COUNTIFS(Data!$J$2:$J$334,"B-",Data!$D$2:$D$334,"FS")</f>
        <v>10</v>
      </c>
      <c r="C18" s="10" t="n">
        <f aca="false">SUMPRODUCT(COUNTIFS(Data!$J$2:$J$334,{"A+","A","B+","B","B-","C"},Data!$D$2:$D$334,"FS"))</f>
        <v>96</v>
      </c>
      <c r="D18" s="11" t="n">
        <f aca="false">IF(C18=0,"",B18/C18)</f>
        <v>0.104166666666667</v>
      </c>
      <c r="E18" s="10" t="n">
        <f aca="false">COUNTIFS(Data!$K$2:$K$334,"B-",Data!$D$2:$D$334,"FS")</f>
        <v>7</v>
      </c>
      <c r="F18" s="10" t="n">
        <f aca="false">SUMPRODUCT(COUNTIFS(Data!$K$2:$K$334,{"A+","A","B+","B","B-","C"},Data!$D$2:$D$334,"FS"))</f>
        <v>109</v>
      </c>
      <c r="G18" s="11" t="n">
        <f aca="false">IF(F18=0,"",E18/F18)</f>
        <v>0.0642201834862385</v>
      </c>
      <c r="H18" s="10" t="n">
        <f aca="false">COUNTIFS(Data!$L$2:$L$334,"B-",Data!$D$2:$D$334,"FS")</f>
        <v>3</v>
      </c>
      <c r="I18" s="10" t="n">
        <f aca="false">SUMPRODUCT(COUNTIFS(Data!$L$2:$L$334,{"A+","A","B+","B","B-","C"},Data!$D$2:$D$334,"FS"))</f>
        <v>99</v>
      </c>
      <c r="J18" s="11" t="n">
        <f aca="false">IF(I18=0,"",H18/I18)</f>
        <v>0.0303030303030303</v>
      </c>
      <c r="K18" s="12" t="n">
        <f aca="false">IF(OR(D18="",J18=""),"",(J18-D18)*100)</f>
        <v>-7.38636363636364</v>
      </c>
    </row>
    <row r="19" customFormat="false" ht="15" hidden="false" customHeight="false" outlineLevel="0" collapsed="false">
      <c r="A19" s="9" t="s">
        <v>16</v>
      </c>
      <c r="B19" s="10" t="n">
        <f aca="false">COUNTIFS(Data!$J$2:$J$334,"B-",Data!$D$2:$D$334,"SME")</f>
        <v>12</v>
      </c>
      <c r="C19" s="10" t="n">
        <f aca="false">SUMPRODUCT(COUNTIFS(Data!$J$2:$J$334,{"A+","A","B+","B","B-","C"},Data!$D$2:$D$334,"SME"))</f>
        <v>131</v>
      </c>
      <c r="D19" s="11" t="n">
        <f aca="false">IF(C19=0,"",B19/C19)</f>
        <v>0.0916030534351145</v>
      </c>
      <c r="E19" s="10" t="n">
        <f aca="false">COUNTIFS(Data!$K$2:$K$334,"B-",Data!$D$2:$D$334,"SME")</f>
        <v>16</v>
      </c>
      <c r="F19" s="10" t="n">
        <f aca="false">SUMPRODUCT(COUNTIFS(Data!$K$2:$K$334,{"A+","A","B+","B","B-","C"},Data!$D$2:$D$334,"SME"))</f>
        <v>137</v>
      </c>
      <c r="G19" s="11" t="n">
        <f aca="false">IF(F19=0,"",E19/F19)</f>
        <v>0.116788321167883</v>
      </c>
      <c r="H19" s="10" t="n">
        <f aca="false">COUNTIFS(Data!$L$2:$L$334,"B-",Data!$D$2:$D$334,"SME")</f>
        <v>21</v>
      </c>
      <c r="I19" s="10" t="n">
        <f aca="false">SUMPRODUCT(COUNTIFS(Data!$L$2:$L$334,{"A+","A","B+","B","B-","C"},Data!$D$2:$D$334,"SME"))</f>
        <v>141</v>
      </c>
      <c r="J19" s="11" t="n">
        <f aca="false">IF(I19=0,"",H19/I19)</f>
        <v>0.148936170212766</v>
      </c>
      <c r="K19" s="12" t="n">
        <f aca="false">IF(OR(D19="",J19=""),"",(J19-D19)*100)</f>
        <v>5.73331167776515</v>
      </c>
    </row>
    <row r="20" customFormat="false" ht="15" hidden="false" customHeight="false" outlineLevel="0" collapsed="false">
      <c r="A20" s="9" t="s">
        <v>17</v>
      </c>
      <c r="B20" s="10" t="n">
        <f aca="false">COUNTIFS(Data!$J$2:$J$334,"B-",Data!$D$2:$D$334,"BCI")</f>
        <v>0</v>
      </c>
      <c r="C20" s="10" t="n">
        <f aca="false">SUMPRODUCT(COUNTIFS(Data!$J$2:$J$334,{"A+","A","B+","B","B-","C"},Data!$D$2:$D$334,"BCI"))</f>
        <v>4</v>
      </c>
      <c r="D20" s="11" t="n">
        <f aca="false">IF(C20=0,"",B20/C20)</f>
        <v>0</v>
      </c>
      <c r="E20" s="10" t="n">
        <f aca="false">COUNTIFS(Data!$K$2:$K$334,"B-",Data!$D$2:$D$334,"BCI")</f>
        <v>0</v>
      </c>
      <c r="F20" s="10" t="n">
        <f aca="false">SUMPRODUCT(COUNTIFS(Data!$K$2:$K$334,{"A+","A","B+","B","B-","C"},Data!$D$2:$D$334,"BCI"))</f>
        <v>3</v>
      </c>
      <c r="G20" s="11" t="n">
        <f aca="false">IF(F20=0,"",E20/F20)</f>
        <v>0</v>
      </c>
      <c r="H20" s="10" t="n">
        <f aca="false">COUNTIFS(Data!$L$2:$L$334,"B-",Data!$D$2:$D$334,"BCI")</f>
        <v>1</v>
      </c>
      <c r="I20" s="10" t="n">
        <f aca="false">SUMPRODUCT(COUNTIFS(Data!$L$2:$L$334,{"A+","A","B+","B","B-","C"},Data!$D$2:$D$334,"BCI"))</f>
        <v>3</v>
      </c>
      <c r="J20" s="11" t="n">
        <f aca="false">IF(I20=0,"",H20/I20)</f>
        <v>0.333333333333333</v>
      </c>
      <c r="K20" s="12" t="n">
        <f aca="false">IF(OR(D20="",J20=""),"",(J20-D20)*100)</f>
        <v>33.3333333333333</v>
      </c>
    </row>
    <row r="22" customFormat="false" ht="15" hidden="false" customHeight="false" outlineLevel="0" collapsed="false">
      <c r="A22" s="3" t="s">
        <v>18</v>
      </c>
    </row>
    <row r="23" customFormat="false" ht="15" hidden="false" customHeight="false" outlineLevel="0" collapsed="false">
      <c r="A23" s="4" t="s">
        <v>18</v>
      </c>
      <c r="B23" s="4" t="s">
        <v>3</v>
      </c>
      <c r="C23" s="4"/>
      <c r="D23" s="4"/>
      <c r="E23" s="4" t="s">
        <v>4</v>
      </c>
      <c r="F23" s="4"/>
      <c r="G23" s="4"/>
      <c r="H23" s="4" t="s">
        <v>5</v>
      </c>
      <c r="I23" s="4"/>
      <c r="J23" s="4"/>
      <c r="K23" s="4" t="s">
        <v>6</v>
      </c>
    </row>
    <row r="24" customFormat="false" ht="15" hidden="false" customHeight="false" outlineLevel="0" collapsed="false">
      <c r="A24" s="4"/>
      <c r="B24" s="4" t="s">
        <v>7</v>
      </c>
      <c r="C24" s="4" t="s">
        <v>8</v>
      </c>
      <c r="D24" s="4" t="s">
        <v>9</v>
      </c>
      <c r="E24" s="4" t="s">
        <v>7</v>
      </c>
      <c r="F24" s="4" t="s">
        <v>8</v>
      </c>
      <c r="G24" s="4" t="s">
        <v>9</v>
      </c>
      <c r="H24" s="4" t="s">
        <v>7</v>
      </c>
      <c r="I24" s="4" t="s">
        <v>8</v>
      </c>
      <c r="J24" s="4" t="s">
        <v>9</v>
      </c>
      <c r="K24" s="4" t="s">
        <v>10</v>
      </c>
    </row>
    <row r="25" customFormat="false" ht="15" hidden="false" customHeight="false" outlineLevel="0" collapsed="false">
      <c r="A25" s="9" t="s">
        <v>19</v>
      </c>
      <c r="B25" s="10" t="n">
        <f aca="false">COUNTIFS(Data!$J$2:$J$334,"B-",Data!$C$2:$C$334,"North",Data!$D$2:$D$334,"FS")</f>
        <v>9</v>
      </c>
      <c r="C25" s="10" t="n">
        <f aca="false">SUMPRODUCT(COUNTIFS(Data!$J$2:$J$334,{"A+","A","B+","B","B-","C"},Data!$C$2:$C$334,"North",Data!$D$2:$D$334,"FS"))</f>
        <v>74</v>
      </c>
      <c r="D25" s="11" t="n">
        <f aca="false">IF(C25=0,"",B25/C25)</f>
        <v>0.121621621621622</v>
      </c>
      <c r="E25" s="10" t="n">
        <f aca="false">COUNTIFS(Data!$K$2:$K$334,"B-",Data!$C$2:$C$334,"North",Data!$D$2:$D$334,"FS")</f>
        <v>5</v>
      </c>
      <c r="F25" s="10" t="n">
        <f aca="false">SUMPRODUCT(COUNTIFS(Data!$K$2:$K$334,{"A+","A","B+","B","B-","C"},Data!$C$2:$C$334,"North",Data!$D$2:$D$334,"FS"))</f>
        <v>75</v>
      </c>
      <c r="G25" s="11" t="n">
        <f aca="false">IF(F25=0,"",E25/F25)</f>
        <v>0.0666666666666667</v>
      </c>
      <c r="H25" s="10" t="n">
        <f aca="false">COUNTIFS(Data!$L$2:$L$334,"B-",Data!$C$2:$C$334,"North",Data!$D$2:$D$334,"FS")</f>
        <v>2</v>
      </c>
      <c r="I25" s="10" t="n">
        <f aca="false">SUMPRODUCT(COUNTIFS(Data!$L$2:$L$334,{"A+","A","B+","B","B-","C"},Data!$C$2:$C$334,"North",Data!$D$2:$D$334,"FS"))</f>
        <v>70</v>
      </c>
      <c r="J25" s="11" t="n">
        <f aca="false">IF(I25=0,"",H25/I25)</f>
        <v>0.0285714285714286</v>
      </c>
      <c r="K25" s="12" t="n">
        <f aca="false">IF(OR(D25="",J25=""),"",(J25-D25)*100)</f>
        <v>-9.30501930501931</v>
      </c>
    </row>
    <row r="26" customFormat="false" ht="15" hidden="false" customHeight="false" outlineLevel="0" collapsed="false">
      <c r="A26" s="9" t="s">
        <v>20</v>
      </c>
      <c r="B26" s="10" t="n">
        <f aca="false">COUNTIFS(Data!$J$2:$J$334,"B-",Data!$C$2:$C$334,"North",Data!$D$2:$D$334,"SME")</f>
        <v>8</v>
      </c>
      <c r="C26" s="10" t="n">
        <f aca="false">SUMPRODUCT(COUNTIFS(Data!$J$2:$J$334,{"A+","A","B+","B","B-","C"},Data!$C$2:$C$334,"North",Data!$D$2:$D$334,"SME"))</f>
        <v>69</v>
      </c>
      <c r="D26" s="11" t="n">
        <f aca="false">IF(C26=0,"",B26/C26)</f>
        <v>0.115942028985507</v>
      </c>
      <c r="E26" s="10" t="n">
        <f aca="false">COUNTIFS(Data!$K$2:$K$334,"B-",Data!$C$2:$C$334,"North",Data!$D$2:$D$334,"SME")</f>
        <v>8</v>
      </c>
      <c r="F26" s="10" t="n">
        <f aca="false">SUMPRODUCT(COUNTIFS(Data!$K$2:$K$334,{"A+","A","B+","B","B-","C"},Data!$C$2:$C$334,"North",Data!$D$2:$D$334,"SME"))</f>
        <v>75</v>
      </c>
      <c r="G26" s="11" t="n">
        <f aca="false">IF(F26=0,"",E26/F26)</f>
        <v>0.106666666666667</v>
      </c>
      <c r="H26" s="10" t="n">
        <f aca="false">COUNTIFS(Data!$L$2:$L$334,"B-",Data!$C$2:$C$334,"North",Data!$D$2:$D$334,"SME")</f>
        <v>9</v>
      </c>
      <c r="I26" s="10" t="n">
        <f aca="false">SUMPRODUCT(COUNTIFS(Data!$L$2:$L$334,{"A+","A","B+","B","B-","C"},Data!$C$2:$C$334,"North",Data!$D$2:$D$334,"SME"))</f>
        <v>76</v>
      </c>
      <c r="J26" s="11" t="n">
        <f aca="false">IF(I26=0,"",H26/I26)</f>
        <v>0.118421052631579</v>
      </c>
      <c r="K26" s="12" t="n">
        <f aca="false">IF(OR(D26="",J26=""),"",(J26-D26)*100)</f>
        <v>0.247902364607169</v>
      </c>
    </row>
    <row r="27" customFormat="false" ht="15" hidden="false" customHeight="false" outlineLevel="0" collapsed="false">
      <c r="A27" s="9" t="s">
        <v>21</v>
      </c>
      <c r="B27" s="10" t="n">
        <f aca="false">COUNTIFS(Data!$J$2:$J$334,"B-",Data!$C$2:$C$334,"South",Data!$D$2:$D$334,"FS")</f>
        <v>1</v>
      </c>
      <c r="C27" s="10" t="n">
        <f aca="false">SUMPRODUCT(COUNTIFS(Data!$J$2:$J$334,{"A+","A","B+","B","B-","C"},Data!$C$2:$C$334,"South",Data!$D$2:$D$334,"FS"))</f>
        <v>22</v>
      </c>
      <c r="D27" s="11" t="n">
        <f aca="false">IF(C27=0,"",B27/C27)</f>
        <v>0.0454545454545455</v>
      </c>
      <c r="E27" s="10" t="n">
        <f aca="false">COUNTIFS(Data!$K$2:$K$334,"B-",Data!$C$2:$C$334,"South",Data!$D$2:$D$334,"FS")</f>
        <v>2</v>
      </c>
      <c r="F27" s="10" t="n">
        <f aca="false">SUMPRODUCT(COUNTIFS(Data!$K$2:$K$334,{"A+","A","B+","B","B-","C"},Data!$C$2:$C$334,"South",Data!$D$2:$D$334,"FS"))</f>
        <v>34</v>
      </c>
      <c r="G27" s="11" t="n">
        <f aca="false">IF(F27=0,"",E27/F27)</f>
        <v>0.0588235294117647</v>
      </c>
      <c r="H27" s="10" t="n">
        <f aca="false">COUNTIFS(Data!$L$2:$L$334,"B-",Data!$C$2:$C$334,"South",Data!$D$2:$D$334,"FS")</f>
        <v>1</v>
      </c>
      <c r="I27" s="10" t="n">
        <f aca="false">SUMPRODUCT(COUNTIFS(Data!$L$2:$L$334,{"A+","A","B+","B","B-","C"},Data!$C$2:$C$334,"South",Data!$D$2:$D$334,"FS"))</f>
        <v>29</v>
      </c>
      <c r="J27" s="11" t="n">
        <f aca="false">IF(I27=0,"",H27/I27)</f>
        <v>0.0344827586206897</v>
      </c>
      <c r="K27" s="12" t="n">
        <f aca="false">IF(OR(D27="",J27=""),"",(J27-D27)*100)</f>
        <v>-1.09717868338558</v>
      </c>
    </row>
    <row r="28" customFormat="false" ht="15" hidden="false" customHeight="false" outlineLevel="0" collapsed="false">
      <c r="A28" s="9" t="s">
        <v>22</v>
      </c>
      <c r="B28" s="10" t="n">
        <f aca="false">COUNTIFS(Data!$J$2:$J$334,"B-",Data!$C$2:$C$334,"South",Data!$D$2:$D$334,"SME")</f>
        <v>4</v>
      </c>
      <c r="C28" s="10" t="n">
        <f aca="false">SUMPRODUCT(COUNTIFS(Data!$J$2:$J$334,{"A+","A","B+","B","B-","C"},Data!$C$2:$C$334,"South",Data!$D$2:$D$334,"SME"))</f>
        <v>62</v>
      </c>
      <c r="D28" s="11" t="n">
        <f aca="false">IF(C28=0,"",B28/C28)</f>
        <v>0.0645161290322581</v>
      </c>
      <c r="E28" s="10" t="n">
        <f aca="false">COUNTIFS(Data!$K$2:$K$334,"B-",Data!$C$2:$C$334,"South",Data!$D$2:$D$334,"SME")</f>
        <v>8</v>
      </c>
      <c r="F28" s="10" t="n">
        <f aca="false">SUMPRODUCT(COUNTIFS(Data!$K$2:$K$334,{"A+","A","B+","B","B-","C"},Data!$C$2:$C$334,"South",Data!$D$2:$D$334,"SME"))</f>
        <v>62</v>
      </c>
      <c r="G28" s="11" t="n">
        <f aca="false">IF(F28=0,"",E28/F28)</f>
        <v>0.129032258064516</v>
      </c>
      <c r="H28" s="10" t="n">
        <f aca="false">COUNTIFS(Data!$L$2:$L$334,"B-",Data!$C$2:$C$334,"South",Data!$D$2:$D$334,"SME")</f>
        <v>12</v>
      </c>
      <c r="I28" s="10" t="n">
        <f aca="false">SUMPRODUCT(COUNTIFS(Data!$L$2:$L$334,{"A+","A","B+","B","B-","C"},Data!$C$2:$C$334,"South",Data!$D$2:$D$334,"SME"))</f>
        <v>65</v>
      </c>
      <c r="J28" s="11" t="n">
        <f aca="false">IF(I28=0,"",H28/I28)</f>
        <v>0.184615384615385</v>
      </c>
      <c r="K28" s="12" t="n">
        <f aca="false">IF(OR(D28="",J28=""),"",(J28-D28)*100)</f>
        <v>12.0099255583127</v>
      </c>
    </row>
    <row r="29" customFormat="false" ht="15" hidden="false" customHeight="false" outlineLevel="0" collapsed="false">
      <c r="A29" s="9" t="s">
        <v>23</v>
      </c>
      <c r="B29" s="10" t="n">
        <f aca="false">COUNTIFS(Data!$J$2:$J$334,"B-",Data!$C$2:$C$334,"South",Data!$D$2:$D$334,"BCI")</f>
        <v>0</v>
      </c>
      <c r="C29" s="10" t="n">
        <f aca="false">SUMPRODUCT(COUNTIFS(Data!$J$2:$J$334,{"A+","A","B+","B","B-","C"},Data!$C$2:$C$334,"South",Data!$D$2:$D$334,"BCI"))</f>
        <v>4</v>
      </c>
      <c r="D29" s="11" t="n">
        <f aca="false">IF(C29=0,"",B29/C29)</f>
        <v>0</v>
      </c>
      <c r="E29" s="10" t="n">
        <f aca="false">COUNTIFS(Data!$K$2:$K$334,"B-",Data!$C$2:$C$334,"South",Data!$D$2:$D$334,"BCI")</f>
        <v>0</v>
      </c>
      <c r="F29" s="10" t="n">
        <f aca="false">SUMPRODUCT(COUNTIFS(Data!$K$2:$K$334,{"A+","A","B+","B","B-","C"},Data!$C$2:$C$334,"South",Data!$D$2:$D$334,"BCI"))</f>
        <v>3</v>
      </c>
      <c r="G29" s="11" t="n">
        <f aca="false">IF(F29=0,"",E29/F29)</f>
        <v>0</v>
      </c>
      <c r="H29" s="10" t="n">
        <f aca="false">COUNTIFS(Data!$L$2:$L$334,"B-",Data!$C$2:$C$334,"South",Data!$D$2:$D$334,"BCI")</f>
        <v>1</v>
      </c>
      <c r="I29" s="10" t="n">
        <f aca="false">SUMPRODUCT(COUNTIFS(Data!$L$2:$L$334,{"A+","A","B+","B","B-","C"},Data!$C$2:$C$334,"South",Data!$D$2:$D$334,"BCI"))</f>
        <v>3</v>
      </c>
      <c r="J29" s="11" t="n">
        <f aca="false">IF(I29=0,"",H29/I29)</f>
        <v>0.333333333333333</v>
      </c>
      <c r="K29" s="12" t="n">
        <f aca="false">IF(OR(D29="",J29=""),"",(J29-D29)*100)</f>
        <v>33.3333333333333</v>
      </c>
    </row>
    <row r="31" customFormat="false" ht="15" hidden="false" customHeight="false" outlineLevel="0" collapsed="false">
      <c r="A31" s="3" t="s">
        <v>24</v>
      </c>
    </row>
    <row r="32" customFormat="false" ht="15" hidden="false" customHeight="false" outlineLevel="0" collapsed="false">
      <c r="A32" s="4" t="s">
        <v>24</v>
      </c>
      <c r="B32" s="4" t="s">
        <v>3</v>
      </c>
      <c r="C32" s="4"/>
      <c r="D32" s="4"/>
      <c r="E32" s="4" t="s">
        <v>4</v>
      </c>
      <c r="F32" s="4"/>
      <c r="G32" s="4"/>
      <c r="H32" s="4" t="s">
        <v>5</v>
      </c>
      <c r="I32" s="4"/>
      <c r="J32" s="4"/>
      <c r="K32" s="4" t="s">
        <v>6</v>
      </c>
    </row>
    <row r="33" customFormat="false" ht="15" hidden="false" customHeight="false" outlineLevel="0" collapsed="false">
      <c r="A33" s="4"/>
      <c r="B33" s="4" t="s">
        <v>7</v>
      </c>
      <c r="C33" s="4" t="s">
        <v>8</v>
      </c>
      <c r="D33" s="4" t="s">
        <v>9</v>
      </c>
      <c r="E33" s="4" t="s">
        <v>7</v>
      </c>
      <c r="F33" s="4" t="s">
        <v>8</v>
      </c>
      <c r="G33" s="4" t="s">
        <v>9</v>
      </c>
      <c r="H33" s="4" t="s">
        <v>7</v>
      </c>
      <c r="I33" s="4" t="s">
        <v>8</v>
      </c>
      <c r="J33" s="4" t="s">
        <v>9</v>
      </c>
      <c r="K33" s="4" t="s">
        <v>10</v>
      </c>
    </row>
    <row r="34" customFormat="false" ht="15" hidden="false" customHeight="false" outlineLevel="0" collapsed="false">
      <c r="A34" s="9" t="s">
        <v>25</v>
      </c>
      <c r="B34" s="10" t="n">
        <f aca="false">COUNTIFS(Data!$J$2:$J$334,"B-",Data!$B$2:$B$334,"HN-F1")</f>
        <v>0</v>
      </c>
      <c r="C34" s="10" t="n">
        <f aca="false">SUMPRODUCT(COUNTIFS(Data!$J$2:$J$334,{"A+","A","B+","B","B-","C"},Data!$B$2:$B$334,"HN-F1"))</f>
        <v>2</v>
      </c>
      <c r="D34" s="11" t="n">
        <f aca="false">IF(C34=0,"",B34/C34)</f>
        <v>0</v>
      </c>
      <c r="E34" s="10" t="n">
        <f aca="false">COUNTIFS(Data!$K$2:$K$334,"B-",Data!$B$2:$B$334,"HN-F1")</f>
        <v>0</v>
      </c>
      <c r="F34" s="10" t="n">
        <f aca="false">SUMPRODUCT(COUNTIFS(Data!$K$2:$K$334,{"A+","A","B+","B","B-","C"},Data!$B$2:$B$334,"HN-F1"))</f>
        <v>5</v>
      </c>
      <c r="G34" s="11" t="n">
        <f aca="false">IF(F34=0,"",E34/F34)</f>
        <v>0</v>
      </c>
      <c r="H34" s="10" t="n">
        <f aca="false">COUNTIFS(Data!$L$2:$L$334,"B-",Data!$B$2:$B$334,"HN-F1")</f>
        <v>0</v>
      </c>
      <c r="I34" s="10" t="n">
        <f aca="false">SUMPRODUCT(COUNTIFS(Data!$L$2:$L$334,{"A+","A","B+","B","B-","C"},Data!$B$2:$B$334,"HN-F1"))</f>
        <v>4</v>
      </c>
      <c r="J34" s="11" t="n">
        <f aca="false">IF(I34=0,"",H34/I34)</f>
        <v>0</v>
      </c>
      <c r="K34" s="12" t="n">
        <f aca="false">IF(OR(D34="",J34=""),"",(J34-D34)*100)</f>
        <v>0</v>
      </c>
    </row>
    <row r="35" customFormat="false" ht="15" hidden="false" customHeight="false" outlineLevel="0" collapsed="false">
      <c r="A35" s="9" t="s">
        <v>26</v>
      </c>
      <c r="B35" s="10" t="n">
        <f aca="false">COUNTIFS(Data!$J$2:$J$334,"B-",Data!$B$2:$B$334,"HN-F2")</f>
        <v>3</v>
      </c>
      <c r="C35" s="10" t="n">
        <f aca="false">SUMPRODUCT(COUNTIFS(Data!$J$2:$J$334,{"A+","A","B+","B","B-","C"},Data!$B$2:$B$334,"HN-F2"))</f>
        <v>10</v>
      </c>
      <c r="D35" s="11" t="n">
        <f aca="false">IF(C35=0,"",B35/C35)</f>
        <v>0.3</v>
      </c>
      <c r="E35" s="10" t="n">
        <f aca="false">COUNTIFS(Data!$K$2:$K$334,"B-",Data!$B$2:$B$334,"HN-F2")</f>
        <v>0</v>
      </c>
      <c r="F35" s="10" t="n">
        <f aca="false">SUMPRODUCT(COUNTIFS(Data!$K$2:$K$334,{"A+","A","B+","B","B-","C"},Data!$B$2:$B$334,"HN-F2"))</f>
        <v>9</v>
      </c>
      <c r="G35" s="11" t="n">
        <f aca="false">IF(F35=0,"",E35/F35)</f>
        <v>0</v>
      </c>
      <c r="H35" s="10" t="n">
        <f aca="false">COUNTIFS(Data!$L$2:$L$334,"B-",Data!$B$2:$B$334,"HN-F2")</f>
        <v>1</v>
      </c>
      <c r="I35" s="10" t="n">
        <f aca="false">SUMPRODUCT(COUNTIFS(Data!$L$2:$L$334,{"A+","A","B+","B","B-","C"},Data!$B$2:$B$334,"HN-F2"))</f>
        <v>13</v>
      </c>
      <c r="J35" s="11" t="n">
        <f aca="false">IF(I35=0,"",H35/I35)</f>
        <v>0.0769230769230769</v>
      </c>
      <c r="K35" s="12" t="n">
        <f aca="false">IF(OR(D35="",J35=""),"",(J35-D35)*100)</f>
        <v>-22.3076923076923</v>
      </c>
    </row>
    <row r="36" customFormat="false" ht="15" hidden="false" customHeight="false" outlineLevel="0" collapsed="false">
      <c r="A36" s="9" t="s">
        <v>27</v>
      </c>
      <c r="B36" s="10" t="n">
        <f aca="false">COUNTIFS(Data!$J$2:$J$334,"B-",Data!$B$2:$B$334,"HN-F3")</f>
        <v>0</v>
      </c>
      <c r="C36" s="10" t="n">
        <f aca="false">SUMPRODUCT(COUNTIFS(Data!$J$2:$J$334,{"A+","A","B+","B","B-","C"},Data!$B$2:$B$334,"HN-F3"))</f>
        <v>13</v>
      </c>
      <c r="D36" s="11" t="n">
        <f aca="false">IF(C36=0,"",B36/C36)</f>
        <v>0</v>
      </c>
      <c r="E36" s="10" t="n">
        <f aca="false">COUNTIFS(Data!$K$2:$K$334,"B-",Data!$B$2:$B$334,"HN-F3")</f>
        <v>1</v>
      </c>
      <c r="F36" s="10" t="n">
        <f aca="false">SUMPRODUCT(COUNTIFS(Data!$K$2:$K$334,{"A+","A","B+","B","B-","C"},Data!$B$2:$B$334,"HN-F3"))</f>
        <v>11</v>
      </c>
      <c r="G36" s="11" t="n">
        <f aca="false">IF(F36=0,"",E36/F36)</f>
        <v>0.0909090909090909</v>
      </c>
      <c r="H36" s="10" t="n">
        <f aca="false">COUNTIFS(Data!$L$2:$L$334,"B-",Data!$B$2:$B$334,"HN-F3")</f>
        <v>0</v>
      </c>
      <c r="I36" s="10" t="n">
        <f aca="false">SUMPRODUCT(COUNTIFS(Data!$L$2:$L$334,{"A+","A","B+","B","B-","C"},Data!$B$2:$B$334,"HN-F3"))</f>
        <v>11</v>
      </c>
      <c r="J36" s="11" t="n">
        <f aca="false">IF(I36=0,"",H36/I36)</f>
        <v>0</v>
      </c>
      <c r="K36" s="12" t="n">
        <f aca="false">IF(OR(D36="",J36=""),"",(J36-D36)*100)</f>
        <v>0</v>
      </c>
    </row>
    <row r="37" customFormat="false" ht="15" hidden="false" customHeight="false" outlineLevel="0" collapsed="false">
      <c r="A37" s="9" t="s">
        <v>28</v>
      </c>
      <c r="B37" s="10" t="n">
        <f aca="false">COUNTIFS(Data!$J$2:$J$334,"B-",Data!$B$2:$B$334,"HN-F4")</f>
        <v>2</v>
      </c>
      <c r="C37" s="10" t="n">
        <f aca="false">SUMPRODUCT(COUNTIFS(Data!$J$2:$J$334,{"A+","A","B+","B","B-","C"},Data!$B$2:$B$334,"HN-F4"))</f>
        <v>13</v>
      </c>
      <c r="D37" s="11" t="n">
        <f aca="false">IF(C37=0,"",B37/C37)</f>
        <v>0.153846153846154</v>
      </c>
      <c r="E37" s="10" t="n">
        <f aca="false">COUNTIFS(Data!$K$2:$K$334,"B-",Data!$B$2:$B$334,"HN-F4")</f>
        <v>2</v>
      </c>
      <c r="F37" s="10" t="n">
        <f aca="false">SUMPRODUCT(COUNTIFS(Data!$K$2:$K$334,{"A+","A","B+","B","B-","C"},Data!$B$2:$B$334,"HN-F4"))</f>
        <v>13</v>
      </c>
      <c r="G37" s="11" t="n">
        <f aca="false">IF(F37=0,"",E37/F37)</f>
        <v>0.153846153846154</v>
      </c>
      <c r="H37" s="10" t="n">
        <f aca="false">COUNTIFS(Data!$L$2:$L$334,"B-",Data!$B$2:$B$334,"HN-F4")</f>
        <v>0</v>
      </c>
      <c r="I37" s="10" t="n">
        <f aca="false">SUMPRODUCT(COUNTIFS(Data!$L$2:$L$334,{"A+","A","B+","B","B-","C"},Data!$B$2:$B$334,"HN-F4"))</f>
        <v>12</v>
      </c>
      <c r="J37" s="11" t="n">
        <f aca="false">IF(I37=0,"",H37/I37)</f>
        <v>0</v>
      </c>
      <c r="K37" s="12" t="n">
        <f aca="false">IF(OR(D37="",J37=""),"",(J37-D37)*100)</f>
        <v>-15.3846153846154</v>
      </c>
    </row>
    <row r="38" customFormat="false" ht="15" hidden="false" customHeight="false" outlineLevel="0" collapsed="false">
      <c r="A38" s="9" t="s">
        <v>29</v>
      </c>
      <c r="B38" s="10" t="n">
        <f aca="false">COUNTIFS(Data!$J$2:$J$334,"B-",Data!$B$2:$B$334,"HN-F5")</f>
        <v>1</v>
      </c>
      <c r="C38" s="10" t="n">
        <f aca="false">SUMPRODUCT(COUNTIFS(Data!$J$2:$J$334,{"A+","A","B+","B","B-","C"},Data!$B$2:$B$334,"HN-F5"))</f>
        <v>12</v>
      </c>
      <c r="D38" s="11" t="n">
        <f aca="false">IF(C38=0,"",B38/C38)</f>
        <v>0.0833333333333333</v>
      </c>
      <c r="E38" s="10" t="n">
        <f aca="false">COUNTIFS(Data!$K$2:$K$334,"B-",Data!$B$2:$B$334,"HN-F5")</f>
        <v>1</v>
      </c>
      <c r="F38" s="10" t="n">
        <f aca="false">SUMPRODUCT(COUNTIFS(Data!$K$2:$K$334,{"A+","A","B+","B","B-","C"},Data!$B$2:$B$334,"HN-F5"))</f>
        <v>12</v>
      </c>
      <c r="G38" s="11" t="n">
        <f aca="false">IF(F38=0,"",E38/F38)</f>
        <v>0.0833333333333333</v>
      </c>
      <c r="H38" s="10" t="n">
        <f aca="false">COUNTIFS(Data!$L$2:$L$334,"B-",Data!$B$2:$B$334,"HN-F5")</f>
        <v>0</v>
      </c>
      <c r="I38" s="10" t="n">
        <f aca="false">SUMPRODUCT(COUNTIFS(Data!$L$2:$L$334,{"A+","A","B+","B","B-","C"},Data!$B$2:$B$334,"HN-F5"))</f>
        <v>8</v>
      </c>
      <c r="J38" s="11" t="n">
        <f aca="false">IF(I38=0,"",H38/I38)</f>
        <v>0</v>
      </c>
      <c r="K38" s="12" t="n">
        <f aca="false">IF(OR(D38="",J38=""),"",(J38-D38)*100)</f>
        <v>-8.33333333333333</v>
      </c>
    </row>
    <row r="39" customFormat="false" ht="15" hidden="false" customHeight="false" outlineLevel="0" collapsed="false">
      <c r="A39" s="9" t="s">
        <v>30</v>
      </c>
      <c r="B39" s="10" t="n">
        <f aca="false">COUNTIFS(Data!$J$2:$J$334,"B-",Data!$B$2:$B$334,"HN-F6")</f>
        <v>0</v>
      </c>
      <c r="C39" s="10" t="n">
        <f aca="false">SUMPRODUCT(COUNTIFS(Data!$J$2:$J$334,{"A+","A","B+","B","B-","C"},Data!$B$2:$B$334,"HN-F6"))</f>
        <v>11</v>
      </c>
      <c r="D39" s="11" t="n">
        <f aca="false">IF(C39=0,"",B39/C39)</f>
        <v>0</v>
      </c>
      <c r="E39" s="10" t="n">
        <f aca="false">COUNTIFS(Data!$K$2:$K$334,"B-",Data!$B$2:$B$334,"HN-F6")</f>
        <v>0</v>
      </c>
      <c r="F39" s="10" t="n">
        <f aca="false">SUMPRODUCT(COUNTIFS(Data!$K$2:$K$334,{"A+","A","B+","B","B-","C"},Data!$B$2:$B$334,"HN-F6"))</f>
        <v>12</v>
      </c>
      <c r="G39" s="11" t="n">
        <f aca="false">IF(F39=0,"",E39/F39)</f>
        <v>0</v>
      </c>
      <c r="H39" s="10" t="n">
        <f aca="false">COUNTIFS(Data!$L$2:$L$334,"B-",Data!$B$2:$B$334,"HN-F6")</f>
        <v>0</v>
      </c>
      <c r="I39" s="10" t="n">
        <f aca="false">SUMPRODUCT(COUNTIFS(Data!$L$2:$L$334,{"A+","A","B+","B","B-","C"},Data!$B$2:$B$334,"HN-F6"))</f>
        <v>9</v>
      </c>
      <c r="J39" s="11" t="n">
        <f aca="false">IF(I39=0,"",H39/I39)</f>
        <v>0</v>
      </c>
      <c r="K39" s="12" t="n">
        <f aca="false">IF(OR(D39="",J39=""),"",(J39-D39)*100)</f>
        <v>0</v>
      </c>
    </row>
    <row r="40" customFormat="false" ht="15" hidden="false" customHeight="false" outlineLevel="0" collapsed="false">
      <c r="A40" s="9" t="s">
        <v>31</v>
      </c>
      <c r="B40" s="10" t="n">
        <f aca="false">COUNTIFS(Data!$J$2:$J$334,"B-",Data!$B$2:$B$334,"HN-FX")</f>
        <v>1</v>
      </c>
      <c r="C40" s="10" t="n">
        <f aca="false">SUMPRODUCT(COUNTIFS(Data!$J$2:$J$334,{"A+","A","B+","B","B-","C"},Data!$B$2:$B$334,"HN-FX"))</f>
        <v>7</v>
      </c>
      <c r="D40" s="11" t="n">
        <f aca="false">IF(C40=0,"",B40/C40)</f>
        <v>0.142857142857143</v>
      </c>
      <c r="E40" s="10" t="n">
        <f aca="false">COUNTIFS(Data!$K$2:$K$334,"B-",Data!$B$2:$B$334,"HN-FX")</f>
        <v>1</v>
      </c>
      <c r="F40" s="10" t="n">
        <f aca="false">SUMPRODUCT(COUNTIFS(Data!$K$2:$K$334,{"A+","A","B+","B","B-","C"},Data!$B$2:$B$334,"HN-FX"))</f>
        <v>7</v>
      </c>
      <c r="G40" s="11" t="n">
        <f aca="false">IF(F40=0,"",E40/F40)</f>
        <v>0.142857142857143</v>
      </c>
      <c r="H40" s="10" t="n">
        <f aca="false">COUNTIFS(Data!$L$2:$L$334,"B-",Data!$B$2:$B$334,"HN-FX")</f>
        <v>1</v>
      </c>
      <c r="I40" s="10" t="n">
        <f aca="false">SUMPRODUCT(COUNTIFS(Data!$L$2:$L$334,{"A+","A","B+","B","B-","C"},Data!$B$2:$B$334,"HN-FX"))</f>
        <v>7</v>
      </c>
      <c r="J40" s="11" t="n">
        <f aca="false">IF(I40=0,"",H40/I40)</f>
        <v>0.142857142857143</v>
      </c>
      <c r="K40" s="12" t="n">
        <f aca="false">IF(OR(D40="",J40=""),"",(J40-D40)*100)</f>
        <v>0</v>
      </c>
    </row>
    <row r="41" customFormat="false" ht="15" hidden="false" customHeight="false" outlineLevel="0" collapsed="false">
      <c r="A41" s="9" t="s">
        <v>32</v>
      </c>
      <c r="B41" s="10" t="n">
        <f aca="false">COUNTIFS(Data!$J$2:$J$334,"B-",Data!$B$2:$B$334,"HN1")</f>
        <v>2</v>
      </c>
      <c r="C41" s="10" t="n">
        <f aca="false">SUMPRODUCT(COUNTIFS(Data!$J$2:$J$334,{"A+","A","B+","B","B-","C"},Data!$B$2:$B$334,"HN1"))</f>
        <v>13</v>
      </c>
      <c r="D41" s="11" t="n">
        <f aca="false">IF(C41=0,"",B41/C41)</f>
        <v>0.153846153846154</v>
      </c>
      <c r="E41" s="10" t="n">
        <f aca="false">COUNTIFS(Data!$K$2:$K$334,"B-",Data!$B$2:$B$334,"HN1")</f>
        <v>1</v>
      </c>
      <c r="F41" s="10" t="n">
        <f aca="false">SUMPRODUCT(COUNTIFS(Data!$K$2:$K$334,{"A+","A","B+","B","B-","C"},Data!$B$2:$B$334,"HN1"))</f>
        <v>13</v>
      </c>
      <c r="G41" s="11" t="n">
        <f aca="false">IF(F41=0,"",E41/F41)</f>
        <v>0.0769230769230769</v>
      </c>
      <c r="H41" s="10" t="n">
        <f aca="false">COUNTIFS(Data!$L$2:$L$334,"B-",Data!$B$2:$B$334,"HN1")</f>
        <v>2</v>
      </c>
      <c r="I41" s="10" t="n">
        <f aca="false">SUMPRODUCT(COUNTIFS(Data!$L$2:$L$334,{"A+","A","B+","B","B-","C"},Data!$B$2:$B$334,"HN1"))</f>
        <v>13</v>
      </c>
      <c r="J41" s="11" t="n">
        <f aca="false">IF(I41=0,"",H41/I41)</f>
        <v>0.153846153846154</v>
      </c>
      <c r="K41" s="12" t="n">
        <f aca="false">IF(OR(D41="",J41=""),"",(J41-D41)*100)</f>
        <v>0</v>
      </c>
    </row>
    <row r="42" customFormat="false" ht="15" hidden="false" customHeight="false" outlineLevel="0" collapsed="false">
      <c r="A42" s="9" t="s">
        <v>33</v>
      </c>
      <c r="B42" s="10" t="n">
        <f aca="false">COUNTIFS(Data!$J$2:$J$334,"B-",Data!$B$2:$B$334,"HN2")</f>
        <v>2</v>
      </c>
      <c r="C42" s="10" t="n">
        <f aca="false">SUMPRODUCT(COUNTIFS(Data!$J$2:$J$334,{"A+","A","B+","B","B-","C"},Data!$B$2:$B$334,"HN2"))</f>
        <v>10</v>
      </c>
      <c r="D42" s="11" t="n">
        <f aca="false">IF(C42=0,"",B42/C42)</f>
        <v>0.2</v>
      </c>
      <c r="E42" s="10" t="n">
        <f aca="false">COUNTIFS(Data!$K$2:$K$334,"B-",Data!$B$2:$B$334,"HN2")</f>
        <v>2</v>
      </c>
      <c r="F42" s="10" t="n">
        <f aca="false">SUMPRODUCT(COUNTIFS(Data!$K$2:$K$334,{"A+","A","B+","B","B-","C"},Data!$B$2:$B$334,"HN2"))</f>
        <v>10</v>
      </c>
      <c r="G42" s="11" t="n">
        <f aca="false">IF(F42=0,"",E42/F42)</f>
        <v>0.2</v>
      </c>
      <c r="H42" s="10" t="n">
        <f aca="false">COUNTIFS(Data!$L$2:$L$334,"B-",Data!$B$2:$B$334,"HN2")</f>
        <v>0</v>
      </c>
      <c r="I42" s="10" t="n">
        <f aca="false">SUMPRODUCT(COUNTIFS(Data!$L$2:$L$334,{"A+","A","B+","B","B-","C"},Data!$B$2:$B$334,"HN2"))</f>
        <v>11</v>
      </c>
      <c r="J42" s="11" t="n">
        <f aca="false">IF(I42=0,"",H42/I42)</f>
        <v>0</v>
      </c>
      <c r="K42" s="12" t="n">
        <f aca="false">IF(OR(D42="",J42=""),"",(J42-D42)*100)</f>
        <v>-20</v>
      </c>
    </row>
    <row r="43" customFormat="false" ht="15" hidden="false" customHeight="false" outlineLevel="0" collapsed="false">
      <c r="A43" s="9" t="s">
        <v>34</v>
      </c>
      <c r="B43" s="10" t="n">
        <f aca="false">COUNTIFS(Data!$J$2:$J$334,"B-",Data!$B$2:$B$334,"HN3")</f>
        <v>1</v>
      </c>
      <c r="C43" s="10" t="n">
        <f aca="false">SUMPRODUCT(COUNTIFS(Data!$J$2:$J$334,{"A+","A","B+","B","B-","C"},Data!$B$2:$B$334,"HN3"))</f>
        <v>12</v>
      </c>
      <c r="D43" s="11" t="n">
        <f aca="false">IF(C43=0,"",B43/C43)</f>
        <v>0.0833333333333333</v>
      </c>
      <c r="E43" s="10" t="n">
        <f aca="false">COUNTIFS(Data!$K$2:$K$334,"B-",Data!$B$2:$B$334,"HN3")</f>
        <v>2</v>
      </c>
      <c r="F43" s="10" t="n">
        <f aca="false">SUMPRODUCT(COUNTIFS(Data!$K$2:$K$334,{"A+","A","B+","B","B-","C"},Data!$B$2:$B$334,"HN3"))</f>
        <v>13</v>
      </c>
      <c r="G43" s="11" t="n">
        <f aca="false">IF(F43=0,"",E43/F43)</f>
        <v>0.153846153846154</v>
      </c>
      <c r="H43" s="10" t="n">
        <f aca="false">COUNTIFS(Data!$L$2:$L$334,"B-",Data!$B$2:$B$334,"HN3")</f>
        <v>2</v>
      </c>
      <c r="I43" s="10" t="n">
        <f aca="false">SUMPRODUCT(COUNTIFS(Data!$L$2:$L$334,{"A+","A","B+","B","B-","C"},Data!$B$2:$B$334,"HN3"))</f>
        <v>14</v>
      </c>
      <c r="J43" s="11" t="n">
        <f aca="false">IF(I43=0,"",H43/I43)</f>
        <v>0.142857142857143</v>
      </c>
      <c r="K43" s="12" t="n">
        <f aca="false">IF(OR(D43="",J43=""),"",(J43-D43)*100)</f>
        <v>5.95238095238095</v>
      </c>
    </row>
    <row r="44" customFormat="false" ht="15" hidden="false" customHeight="false" outlineLevel="0" collapsed="false">
      <c r="A44" s="9" t="s">
        <v>35</v>
      </c>
      <c r="B44" s="10" t="n">
        <f aca="false">COUNTIFS(Data!$J$2:$J$334,"B-",Data!$B$2:$B$334,"HN4")</f>
        <v>0</v>
      </c>
      <c r="C44" s="10" t="n">
        <f aca="false">SUMPRODUCT(COUNTIFS(Data!$J$2:$J$334,{"A+","A","B+","B","B-","C"},Data!$B$2:$B$334,"HN4"))</f>
        <v>10</v>
      </c>
      <c r="D44" s="11" t="n">
        <f aca="false">IF(C44=0,"",B44/C44)</f>
        <v>0</v>
      </c>
      <c r="E44" s="10" t="n">
        <f aca="false">COUNTIFS(Data!$K$2:$K$334,"B-",Data!$B$2:$B$334,"HN4")</f>
        <v>1</v>
      </c>
      <c r="F44" s="10" t="n">
        <f aca="false">SUMPRODUCT(COUNTIFS(Data!$K$2:$K$334,{"A+","A","B+","B","B-","C"},Data!$B$2:$B$334,"HN4"))</f>
        <v>12</v>
      </c>
      <c r="G44" s="11" t="n">
        <f aca="false">IF(F44=0,"",E44/F44)</f>
        <v>0.0833333333333333</v>
      </c>
      <c r="H44" s="10" t="n">
        <f aca="false">COUNTIFS(Data!$L$2:$L$334,"B-",Data!$B$2:$B$334,"HN4")</f>
        <v>1</v>
      </c>
      <c r="I44" s="10" t="n">
        <f aca="false">SUMPRODUCT(COUNTIFS(Data!$L$2:$L$334,{"A+","A","B+","B","B-","C"},Data!$B$2:$B$334,"HN4"))</f>
        <v>11</v>
      </c>
      <c r="J44" s="11" t="n">
        <f aca="false">IF(I44=0,"",H44/I44)</f>
        <v>0.0909090909090909</v>
      </c>
      <c r="K44" s="12" t="n">
        <f aca="false">IF(OR(D44="",J44=""),"",(J44-D44)*100)</f>
        <v>9.09090909090909</v>
      </c>
    </row>
    <row r="45" customFormat="false" ht="15" hidden="false" customHeight="false" outlineLevel="0" collapsed="false">
      <c r="A45" s="9" t="s">
        <v>36</v>
      </c>
      <c r="B45" s="10" t="n">
        <f aca="false">COUNTIFS(Data!$J$2:$J$334,"B-",Data!$B$2:$B$334,"HN5")</f>
        <v>1</v>
      </c>
      <c r="C45" s="10" t="n">
        <f aca="false">SUMPRODUCT(COUNTIFS(Data!$J$2:$J$334,{"A+","A","B+","B","B-","C"},Data!$B$2:$B$334,"HN5"))</f>
        <v>12</v>
      </c>
      <c r="D45" s="11" t="n">
        <f aca="false">IF(C45=0,"",B45/C45)</f>
        <v>0.0833333333333333</v>
      </c>
      <c r="E45" s="10" t="n">
        <f aca="false">COUNTIFS(Data!$K$2:$K$334,"B-",Data!$B$2:$B$334,"HN5")</f>
        <v>1</v>
      </c>
      <c r="F45" s="10" t="n">
        <f aca="false">SUMPRODUCT(COUNTIFS(Data!$K$2:$K$334,{"A+","A","B+","B","B-","C"},Data!$B$2:$B$334,"HN5"))</f>
        <v>13</v>
      </c>
      <c r="G45" s="11" t="n">
        <f aca="false">IF(F45=0,"",E45/F45)</f>
        <v>0.0769230769230769</v>
      </c>
      <c r="H45" s="10" t="n">
        <f aca="false">COUNTIFS(Data!$L$2:$L$334,"B-",Data!$B$2:$B$334,"HN5")</f>
        <v>2</v>
      </c>
      <c r="I45" s="10" t="n">
        <f aca="false">SUMPRODUCT(COUNTIFS(Data!$L$2:$L$334,{"A+","A","B+","B","B-","C"},Data!$B$2:$B$334,"HN5"))</f>
        <v>13</v>
      </c>
      <c r="J45" s="11" t="n">
        <f aca="false">IF(I45=0,"",H45/I45)</f>
        <v>0.153846153846154</v>
      </c>
      <c r="K45" s="12" t="n">
        <f aca="false">IF(OR(D45="",J45=""),"",(J45-D45)*100)</f>
        <v>7.05128205128205</v>
      </c>
    </row>
    <row r="46" customFormat="false" ht="15" hidden="false" customHeight="false" outlineLevel="0" collapsed="false">
      <c r="A46" s="9" t="s">
        <v>37</v>
      </c>
      <c r="B46" s="10" t="n">
        <f aca="false">COUNTIFS(Data!$J$2:$J$334,"B-",Data!$B$2:$B$334,"HN6")</f>
        <v>2</v>
      </c>
      <c r="C46" s="10" t="n">
        <f aca="false">SUMPRODUCT(COUNTIFS(Data!$J$2:$J$334,{"A+","A","B+","B","B-","C"},Data!$B$2:$B$334,"HN6"))</f>
        <v>12</v>
      </c>
      <c r="D46" s="11" t="n">
        <f aca="false">IF(C46=0,"",B46/C46)</f>
        <v>0.166666666666667</v>
      </c>
      <c r="E46" s="10" t="n">
        <f aca="false">COUNTIFS(Data!$K$2:$K$334,"B-",Data!$B$2:$B$334,"HN6")</f>
        <v>1</v>
      </c>
      <c r="F46" s="10" t="n">
        <f aca="false">SUMPRODUCT(COUNTIFS(Data!$K$2:$K$334,{"A+","A","B+","B","B-","C"},Data!$B$2:$B$334,"HN6"))</f>
        <v>14</v>
      </c>
      <c r="G46" s="11" t="n">
        <f aca="false">IF(F46=0,"",E46/F46)</f>
        <v>0.0714285714285714</v>
      </c>
      <c r="H46" s="10" t="n">
        <f aca="false">COUNTIFS(Data!$L$2:$L$334,"B-",Data!$B$2:$B$334,"HN6")</f>
        <v>2</v>
      </c>
      <c r="I46" s="10" t="n">
        <f aca="false">SUMPRODUCT(COUNTIFS(Data!$L$2:$L$334,{"A+","A","B+","B","B-","C"},Data!$B$2:$B$334,"HN6"))</f>
        <v>14</v>
      </c>
      <c r="J46" s="11" t="n">
        <f aca="false">IF(I46=0,"",H46/I46)</f>
        <v>0.142857142857143</v>
      </c>
      <c r="K46" s="12" t="n">
        <f aca="false">IF(OR(D46="",J46=""),"",(J46-D46)*100)</f>
        <v>-2.38095238095238</v>
      </c>
    </row>
    <row r="47" customFormat="false" ht="15" hidden="false" customHeight="false" outlineLevel="0" collapsed="false">
      <c r="A47" s="9" t="s">
        <v>38</v>
      </c>
      <c r="B47" s="10" t="n">
        <f aca="false">COUNTIFS(Data!$J$2:$J$334,"B-",Data!$B$2:$B$334,"North-F1")</f>
        <v>2</v>
      </c>
      <c r="C47" s="10" t="n">
        <f aca="false">SUMPRODUCT(COUNTIFS(Data!$J$2:$J$334,{"A+","A","B+","B","B-","C"},Data!$B$2:$B$334,"North-F1"))</f>
        <v>6</v>
      </c>
      <c r="D47" s="11" t="n">
        <f aca="false">IF(C47=0,"",B47/C47)</f>
        <v>0.333333333333333</v>
      </c>
      <c r="E47" s="10" t="n">
        <f aca="false">COUNTIFS(Data!$K$2:$K$334,"B-",Data!$B$2:$B$334,"North-F1")</f>
        <v>0</v>
      </c>
      <c r="F47" s="10" t="n">
        <f aca="false">SUMPRODUCT(COUNTIFS(Data!$K$2:$K$334,{"A+","A","B+","B","B-","C"},Data!$B$2:$B$334,"North-F1"))</f>
        <v>6</v>
      </c>
      <c r="G47" s="11" t="n">
        <f aca="false">IF(F47=0,"",E47/F47)</f>
        <v>0</v>
      </c>
      <c r="H47" s="10" t="n">
        <f aca="false">COUNTIFS(Data!$L$2:$L$334,"B-",Data!$B$2:$B$334,"North-F1")</f>
        <v>0</v>
      </c>
      <c r="I47" s="10" t="n">
        <f aca="false">SUMPRODUCT(COUNTIFS(Data!$L$2:$L$334,{"A+","A","B+","B","B-","C"},Data!$B$2:$B$334,"North-F1"))</f>
        <v>6</v>
      </c>
      <c r="J47" s="11" t="n">
        <f aca="false">IF(I47=0,"",H47/I47)</f>
        <v>0</v>
      </c>
      <c r="K47" s="12" t="n">
        <f aca="false">IF(OR(D47="",J47=""),"",(J47-D47)*100)</f>
        <v>-33.3333333333333</v>
      </c>
    </row>
    <row r="48" customFormat="false" ht="15" hidden="false" customHeight="false" outlineLevel="0" collapsed="false">
      <c r="A48" s="9" t="s">
        <v>39</v>
      </c>
      <c r="B48" s="10" t="n">
        <f aca="false">COUNTIFS(Data!$J$2:$J$334,"B-",Data!$B$2:$B$334,"BCI HCM")</f>
        <v>0</v>
      </c>
      <c r="C48" s="10" t="n">
        <f aca="false">SUMPRODUCT(COUNTIFS(Data!$J$2:$J$334,{"A+","A","B+","B","B-","C"},Data!$B$2:$B$334,"BCI HCM"))</f>
        <v>4</v>
      </c>
      <c r="D48" s="11" t="n">
        <f aca="false">IF(C48=0,"",B48/C48)</f>
        <v>0</v>
      </c>
      <c r="E48" s="10" t="n">
        <f aca="false">COUNTIFS(Data!$K$2:$K$334,"B-",Data!$B$2:$B$334,"BCI HCM")</f>
        <v>0</v>
      </c>
      <c r="F48" s="10" t="n">
        <f aca="false">SUMPRODUCT(COUNTIFS(Data!$K$2:$K$334,{"A+","A","B+","B","B-","C"},Data!$B$2:$B$334,"BCI HCM"))</f>
        <v>3</v>
      </c>
      <c r="G48" s="11" t="n">
        <f aca="false">IF(F48=0,"",E48/F48)</f>
        <v>0</v>
      </c>
      <c r="H48" s="10" t="n">
        <f aca="false">COUNTIFS(Data!$L$2:$L$334,"B-",Data!$B$2:$B$334,"BCI HCM")</f>
        <v>1</v>
      </c>
      <c r="I48" s="10" t="n">
        <f aca="false">SUMPRODUCT(COUNTIFS(Data!$L$2:$L$334,{"A+","A","B+","B","B-","C"},Data!$B$2:$B$334,"BCI HCM"))</f>
        <v>3</v>
      </c>
      <c r="J48" s="11" t="n">
        <f aca="false">IF(I48=0,"",H48/I48)</f>
        <v>0.333333333333333</v>
      </c>
      <c r="K48" s="12" t="n">
        <f aca="false">IF(OR(D48="",J48=""),"",(J48-D48)*100)</f>
        <v>33.3333333333333</v>
      </c>
    </row>
    <row r="49" customFormat="false" ht="15" hidden="false" customHeight="false" outlineLevel="0" collapsed="false">
      <c r="A49" s="9" t="s">
        <v>40</v>
      </c>
      <c r="B49" s="10" t="n">
        <f aca="false">COUNTIFS(Data!$J$2:$J$334,"B-",Data!$B$2:$B$334,"HCM-F1")</f>
        <v>1</v>
      </c>
      <c r="C49" s="10" t="n">
        <f aca="false">SUMPRODUCT(COUNTIFS(Data!$J$2:$J$334,{"A+","A","B+","B","B-","C"},Data!$B$2:$B$334,"HCM-F1"))</f>
        <v>22</v>
      </c>
      <c r="D49" s="11" t="n">
        <f aca="false">IF(C49=0,"",B49/C49)</f>
        <v>0.0454545454545455</v>
      </c>
      <c r="E49" s="10" t="n">
        <f aca="false">COUNTIFS(Data!$K$2:$K$334,"B-",Data!$B$2:$B$334,"HCM-F1")</f>
        <v>2</v>
      </c>
      <c r="F49" s="10" t="n">
        <f aca="false">SUMPRODUCT(COUNTIFS(Data!$K$2:$K$334,{"A+","A","B+","B","B-","C"},Data!$B$2:$B$334,"HCM-F1"))</f>
        <v>34</v>
      </c>
      <c r="G49" s="11" t="n">
        <f aca="false">IF(F49=0,"",E49/F49)</f>
        <v>0.0588235294117647</v>
      </c>
      <c r="H49" s="10" t="n">
        <f aca="false">COUNTIFS(Data!$L$2:$L$334,"B-",Data!$B$2:$B$334,"HCM-F1")</f>
        <v>1</v>
      </c>
      <c r="I49" s="10" t="n">
        <f aca="false">SUMPRODUCT(COUNTIFS(Data!$L$2:$L$334,{"A+","A","B+","B","B-","C"},Data!$B$2:$B$334,"HCM-F1"))</f>
        <v>29</v>
      </c>
      <c r="J49" s="11" t="n">
        <f aca="false">IF(I49=0,"",H49/I49)</f>
        <v>0.0344827586206897</v>
      </c>
      <c r="K49" s="12" t="n">
        <f aca="false">IF(OR(D49="",J49=""),"",(J49-D49)*100)</f>
        <v>-1.09717868338558</v>
      </c>
    </row>
    <row r="50" customFormat="false" ht="15" hidden="false" customHeight="false" outlineLevel="0" collapsed="false">
      <c r="A50" s="9" t="s">
        <v>41</v>
      </c>
      <c r="B50" s="10" t="n">
        <f aca="false">COUNTIFS(Data!$J$2:$J$334,"B-",Data!$B$2:$B$334,"HCM1")</f>
        <v>1</v>
      </c>
      <c r="C50" s="10" t="n">
        <f aca="false">SUMPRODUCT(COUNTIFS(Data!$J$2:$J$334,{"A+","A","B+","B","B-","C"},Data!$B$2:$B$334,"HCM1"))</f>
        <v>15</v>
      </c>
      <c r="D50" s="11" t="n">
        <f aca="false">IF(C50=0,"",B50/C50)</f>
        <v>0.0666666666666667</v>
      </c>
      <c r="E50" s="10" t="n">
        <f aca="false">COUNTIFS(Data!$K$2:$K$334,"B-",Data!$B$2:$B$334,"HCM1")</f>
        <v>3</v>
      </c>
      <c r="F50" s="10" t="n">
        <f aca="false">SUMPRODUCT(COUNTIFS(Data!$K$2:$K$334,{"A+","A","B+","B","B-","C"},Data!$B$2:$B$334,"HCM1"))</f>
        <v>14</v>
      </c>
      <c r="G50" s="11" t="n">
        <f aca="false">IF(F50=0,"",E50/F50)</f>
        <v>0.214285714285714</v>
      </c>
      <c r="H50" s="10" t="n">
        <f aca="false">COUNTIFS(Data!$L$2:$L$334,"B-",Data!$B$2:$B$334,"HCM1")</f>
        <v>2</v>
      </c>
      <c r="I50" s="10" t="n">
        <f aca="false">SUMPRODUCT(COUNTIFS(Data!$L$2:$L$334,{"A+","A","B+","B","B-","C"},Data!$B$2:$B$334,"HCM1"))</f>
        <v>14</v>
      </c>
      <c r="J50" s="11" t="n">
        <f aca="false">IF(I50=0,"",H50/I50)</f>
        <v>0.142857142857143</v>
      </c>
      <c r="K50" s="12" t="n">
        <f aca="false">IF(OR(D50="",J50=""),"",(J50-D50)*100)</f>
        <v>7.61904761904762</v>
      </c>
    </row>
    <row r="51" customFormat="false" ht="15" hidden="false" customHeight="false" outlineLevel="0" collapsed="false">
      <c r="A51" s="9" t="s">
        <v>42</v>
      </c>
      <c r="B51" s="10" t="n">
        <f aca="false">COUNTIFS(Data!$J$2:$J$334,"B-",Data!$B$2:$B$334,"HCM2")</f>
        <v>1</v>
      </c>
      <c r="C51" s="10" t="n">
        <f aca="false">SUMPRODUCT(COUNTIFS(Data!$J$2:$J$334,{"A+","A","B+","B","B-","C"},Data!$B$2:$B$334,"HCM2"))</f>
        <v>13</v>
      </c>
      <c r="D51" s="11" t="n">
        <f aca="false">IF(C51=0,"",B51/C51)</f>
        <v>0.0769230769230769</v>
      </c>
      <c r="E51" s="10" t="n">
        <f aca="false">COUNTIFS(Data!$K$2:$K$334,"B-",Data!$B$2:$B$334,"HCM2")</f>
        <v>2</v>
      </c>
      <c r="F51" s="10" t="n">
        <f aca="false">SUMPRODUCT(COUNTIFS(Data!$K$2:$K$334,{"A+","A","B+","B","B-","C"},Data!$B$2:$B$334,"HCM2"))</f>
        <v>12</v>
      </c>
      <c r="G51" s="11" t="n">
        <f aca="false">IF(F51=0,"",E51/F51)</f>
        <v>0.166666666666667</v>
      </c>
      <c r="H51" s="10" t="n">
        <f aca="false">COUNTIFS(Data!$L$2:$L$334,"B-",Data!$B$2:$B$334,"HCM2")</f>
        <v>2</v>
      </c>
      <c r="I51" s="10" t="n">
        <f aca="false">SUMPRODUCT(COUNTIFS(Data!$L$2:$L$334,{"A+","A","B+","B","B-","C"},Data!$B$2:$B$334,"HCM2"))</f>
        <v>14</v>
      </c>
      <c r="J51" s="11" t="n">
        <f aca="false">IF(I51=0,"",H51/I51)</f>
        <v>0.142857142857143</v>
      </c>
      <c r="K51" s="12" t="n">
        <f aca="false">IF(OR(D51="",J51=""),"",(J51-D51)*100)</f>
        <v>6.59340659340659</v>
      </c>
    </row>
    <row r="52" customFormat="false" ht="15" hidden="false" customHeight="false" outlineLevel="0" collapsed="false">
      <c r="A52" s="9" t="s">
        <v>43</v>
      </c>
      <c r="B52" s="10" t="n">
        <f aca="false">COUNTIFS(Data!$J$2:$J$334,"B-",Data!$B$2:$B$334,"HCM3")</f>
        <v>0</v>
      </c>
      <c r="C52" s="10" t="n">
        <f aca="false">SUMPRODUCT(COUNTIFS(Data!$J$2:$J$334,{"A+","A","B+","B","B-","C"},Data!$B$2:$B$334,"HCM3"))</f>
        <v>12</v>
      </c>
      <c r="D52" s="11" t="n">
        <f aca="false">IF(C52=0,"",B52/C52)</f>
        <v>0</v>
      </c>
      <c r="E52" s="10" t="n">
        <f aca="false">COUNTIFS(Data!$K$2:$K$334,"B-",Data!$B$2:$B$334,"HCM3")</f>
        <v>1</v>
      </c>
      <c r="F52" s="10" t="n">
        <f aca="false">SUMPRODUCT(COUNTIFS(Data!$K$2:$K$334,{"A+","A","B+","B","B-","C"},Data!$B$2:$B$334,"HCM3"))</f>
        <v>13</v>
      </c>
      <c r="G52" s="11" t="n">
        <f aca="false">IF(F52=0,"",E52/F52)</f>
        <v>0.0769230769230769</v>
      </c>
      <c r="H52" s="10" t="n">
        <f aca="false">COUNTIFS(Data!$L$2:$L$334,"B-",Data!$B$2:$B$334,"HCM3")</f>
        <v>3</v>
      </c>
      <c r="I52" s="10" t="n">
        <f aca="false">SUMPRODUCT(COUNTIFS(Data!$L$2:$L$334,{"A+","A","B+","B","B-","C"},Data!$B$2:$B$334,"HCM3"))</f>
        <v>14</v>
      </c>
      <c r="J52" s="11" t="n">
        <f aca="false">IF(I52=0,"",H52/I52)</f>
        <v>0.214285714285714</v>
      </c>
      <c r="K52" s="12" t="n">
        <f aca="false">IF(OR(D52="",J52=""),"",(J52-D52)*100)</f>
        <v>21.4285714285714</v>
      </c>
    </row>
    <row r="53" customFormat="false" ht="15" hidden="false" customHeight="false" outlineLevel="0" collapsed="false">
      <c r="A53" s="9" t="s">
        <v>44</v>
      </c>
      <c r="B53" s="10" t="n">
        <f aca="false">COUNTIFS(Data!$J$2:$J$334,"B-",Data!$B$2:$B$334,"HCM4")</f>
        <v>2</v>
      </c>
      <c r="C53" s="10" t="n">
        <f aca="false">SUMPRODUCT(COUNTIFS(Data!$J$2:$J$334,{"A+","A","B+","B","B-","C"},Data!$B$2:$B$334,"HCM4"))</f>
        <v>11</v>
      </c>
      <c r="D53" s="11" t="n">
        <f aca="false">IF(C53=0,"",B53/C53)</f>
        <v>0.181818181818182</v>
      </c>
      <c r="E53" s="10" t="n">
        <f aca="false">COUNTIFS(Data!$K$2:$K$334,"B-",Data!$B$2:$B$334,"HCM4")</f>
        <v>2</v>
      </c>
      <c r="F53" s="10" t="n">
        <f aca="false">SUMPRODUCT(COUNTIFS(Data!$K$2:$K$334,{"A+","A","B+","B","B-","C"},Data!$B$2:$B$334,"HCM4"))</f>
        <v>11</v>
      </c>
      <c r="G53" s="11" t="n">
        <f aca="false">IF(F53=0,"",E53/F53)</f>
        <v>0.181818181818182</v>
      </c>
      <c r="H53" s="10" t="n">
        <f aca="false">COUNTIFS(Data!$L$2:$L$334,"B-",Data!$B$2:$B$334,"HCM4")</f>
        <v>1</v>
      </c>
      <c r="I53" s="10" t="n">
        <f aca="false">SUMPRODUCT(COUNTIFS(Data!$L$2:$L$334,{"A+","A","B+","B","B-","C"},Data!$B$2:$B$334,"HCM4"))</f>
        <v>11</v>
      </c>
      <c r="J53" s="11" t="n">
        <f aca="false">IF(I53=0,"",H53/I53)</f>
        <v>0.0909090909090909</v>
      </c>
      <c r="K53" s="12" t="n">
        <f aca="false">IF(OR(D53="",J53=""),"",(J53-D53)*100)</f>
        <v>-9.09090909090909</v>
      </c>
    </row>
    <row r="54" customFormat="false" ht="15" hidden="false" customHeight="false" outlineLevel="0" collapsed="false">
      <c r="A54" s="9" t="s">
        <v>45</v>
      </c>
      <c r="B54" s="10" t="n">
        <f aca="false">COUNTIFS(Data!$J$2:$J$334,"B-",Data!$B$2:$B$334,"HCM5")</f>
        <v>0</v>
      </c>
      <c r="C54" s="10" t="n">
        <f aca="false">SUMPRODUCT(COUNTIFS(Data!$J$2:$J$334,{"A+","A","B+","B","B-","C"},Data!$B$2:$B$334,"HCM5"))</f>
        <v>11</v>
      </c>
      <c r="D54" s="11" t="n">
        <f aca="false">IF(C54=0,"",B54/C54)</f>
        <v>0</v>
      </c>
      <c r="E54" s="10" t="n">
        <f aca="false">COUNTIFS(Data!$K$2:$K$334,"B-",Data!$B$2:$B$334,"HCM5")</f>
        <v>0</v>
      </c>
      <c r="F54" s="10" t="n">
        <f aca="false">SUMPRODUCT(COUNTIFS(Data!$K$2:$K$334,{"A+","A","B+","B","B-","C"},Data!$B$2:$B$334,"HCM5"))</f>
        <v>12</v>
      </c>
      <c r="G54" s="11" t="n">
        <f aca="false">IF(F54=0,"",E54/F54)</f>
        <v>0</v>
      </c>
      <c r="H54" s="10" t="n">
        <f aca="false">COUNTIFS(Data!$L$2:$L$334,"B-",Data!$B$2:$B$334,"HCM5")</f>
        <v>4</v>
      </c>
      <c r="I54" s="10" t="n">
        <f aca="false">SUMPRODUCT(COUNTIFS(Data!$L$2:$L$334,{"A+","A","B+","B","B-","C"},Data!$B$2:$B$334,"HCM5"))</f>
        <v>12</v>
      </c>
      <c r="J54" s="11" t="n">
        <f aca="false">IF(I54=0,"",H54/I54)</f>
        <v>0.333333333333333</v>
      </c>
      <c r="K54" s="12" t="n">
        <f aca="false">IF(OR(D54="",J54=""),"",(J54-D54)*100)</f>
        <v>33.3333333333333</v>
      </c>
    </row>
    <row r="56" customFormat="false" ht="15" hidden="false" customHeight="false" outlineLevel="0" collapsed="false">
      <c r="A56" s="13" t="s">
        <v>46</v>
      </c>
    </row>
  </sheetData>
  <mergeCells count="15">
    <mergeCell ref="B5:D5"/>
    <mergeCell ref="E5:G5"/>
    <mergeCell ref="H5:J5"/>
    <mergeCell ref="B10:D10"/>
    <mergeCell ref="E10:G10"/>
    <mergeCell ref="H10:J10"/>
    <mergeCell ref="B16:D16"/>
    <mergeCell ref="E16:G16"/>
    <mergeCell ref="H16:J16"/>
    <mergeCell ref="B23:D23"/>
    <mergeCell ref="E23:G23"/>
    <mergeCell ref="H23:J23"/>
    <mergeCell ref="B32:D32"/>
    <mergeCell ref="E32:G32"/>
    <mergeCell ref="H32:J32"/>
  </mergeCells>
  <conditionalFormatting sqref="D7">
    <cfRule type="colorScale" priority="2">
      <colorScale>
        <cfvo type="num" val="0"/>
        <cfvo type="num" val="0.3"/>
        <color rgb="FFFFFFFF"/>
        <color rgb="FFF8696B"/>
      </colorScale>
    </cfRule>
  </conditionalFormatting>
  <conditionalFormatting sqref="G7">
    <cfRule type="colorScale" priority="3">
      <colorScale>
        <cfvo type="num" val="0"/>
        <cfvo type="num" val="0.3"/>
        <color rgb="FFFFFFFF"/>
        <color rgb="FFF8696B"/>
      </colorScale>
    </cfRule>
  </conditionalFormatting>
  <conditionalFormatting sqref="J7">
    <cfRule type="colorScale" priority="4">
      <colorScale>
        <cfvo type="num" val="0"/>
        <cfvo type="num" val="0.3"/>
        <color rgb="FFFFFFFF"/>
        <color rgb="FFF8696B"/>
      </colorScale>
    </cfRule>
  </conditionalFormatting>
  <conditionalFormatting sqref="D12:D13">
    <cfRule type="colorScale" priority="5">
      <colorScale>
        <cfvo type="num" val="0"/>
        <cfvo type="num" val="0.3"/>
        <color rgb="FFFFFFFF"/>
        <color rgb="FFF8696B"/>
      </colorScale>
    </cfRule>
  </conditionalFormatting>
  <conditionalFormatting sqref="G12:G13">
    <cfRule type="colorScale" priority="6">
      <colorScale>
        <cfvo type="num" val="0"/>
        <cfvo type="num" val="0.3"/>
        <color rgb="FFFFFFFF"/>
        <color rgb="FFF8696B"/>
      </colorScale>
    </cfRule>
  </conditionalFormatting>
  <conditionalFormatting sqref="J12:J13">
    <cfRule type="colorScale" priority="7">
      <colorScale>
        <cfvo type="num" val="0"/>
        <cfvo type="num" val="0.3"/>
        <color rgb="FFFFFFFF"/>
        <color rgb="FFF8696B"/>
      </colorScale>
    </cfRule>
  </conditionalFormatting>
  <conditionalFormatting sqref="D18:D20">
    <cfRule type="colorScale" priority="8">
      <colorScale>
        <cfvo type="num" val="0"/>
        <cfvo type="num" val="0.3"/>
        <color rgb="FFFFFFFF"/>
        <color rgb="FFF8696B"/>
      </colorScale>
    </cfRule>
  </conditionalFormatting>
  <conditionalFormatting sqref="G18:G20">
    <cfRule type="colorScale" priority="9">
      <colorScale>
        <cfvo type="num" val="0"/>
        <cfvo type="num" val="0.3"/>
        <color rgb="FFFFFFFF"/>
        <color rgb="FFF8696B"/>
      </colorScale>
    </cfRule>
  </conditionalFormatting>
  <conditionalFormatting sqref="J18:J20">
    <cfRule type="colorScale" priority="10">
      <colorScale>
        <cfvo type="num" val="0"/>
        <cfvo type="num" val="0.3"/>
        <color rgb="FFFFFFFF"/>
        <color rgb="FFF8696B"/>
      </colorScale>
    </cfRule>
  </conditionalFormatting>
  <conditionalFormatting sqref="D25:D29">
    <cfRule type="colorScale" priority="11">
      <colorScale>
        <cfvo type="num" val="0"/>
        <cfvo type="num" val="0.3"/>
        <color rgb="FFFFFFFF"/>
        <color rgb="FFF8696B"/>
      </colorScale>
    </cfRule>
  </conditionalFormatting>
  <conditionalFormatting sqref="G25:G29">
    <cfRule type="colorScale" priority="12">
      <colorScale>
        <cfvo type="num" val="0"/>
        <cfvo type="num" val="0.3"/>
        <color rgb="FFFFFFFF"/>
        <color rgb="FFF8696B"/>
      </colorScale>
    </cfRule>
  </conditionalFormatting>
  <conditionalFormatting sqref="J25:J29">
    <cfRule type="colorScale" priority="13">
      <colorScale>
        <cfvo type="num" val="0"/>
        <cfvo type="num" val="0.3"/>
        <color rgb="FFFFFFFF"/>
        <color rgb="FFF8696B"/>
      </colorScale>
    </cfRule>
  </conditionalFormatting>
  <conditionalFormatting sqref="D34:D54">
    <cfRule type="colorScale" priority="14">
      <colorScale>
        <cfvo type="num" val="0"/>
        <cfvo type="num" val="0.3"/>
        <color rgb="FFFFFFFF"/>
        <color rgb="FFF8696B"/>
      </colorScale>
    </cfRule>
  </conditionalFormatting>
  <conditionalFormatting sqref="G34:G54">
    <cfRule type="colorScale" priority="15">
      <colorScale>
        <cfvo type="num" val="0"/>
        <cfvo type="num" val="0.3"/>
        <color rgb="FFFFFFFF"/>
        <color rgb="FFF8696B"/>
      </colorScale>
    </cfRule>
  </conditionalFormatting>
  <conditionalFormatting sqref="J34:J54">
    <cfRule type="colorScale" priority="16">
      <colorScale>
        <cfvo type="num" val="0"/>
        <cfvo type="num" val="0.3"/>
        <color rgb="FFFFFFFF"/>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0" min="2" style="0" width="9.51"/>
    <col collapsed="false" customWidth="true" hidden="false" outlineLevel="0" max="11" min="11" style="0" width="16"/>
  </cols>
  <sheetData>
    <row r="1" customFormat="false" ht="17.35" hidden="false" customHeight="false" outlineLevel="0" collapsed="false">
      <c r="A1" s="1" t="s">
        <v>47</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2</v>
      </c>
      <c r="B5" s="4" t="s">
        <v>3</v>
      </c>
      <c r="C5" s="4"/>
      <c r="D5" s="4"/>
      <c r="E5" s="4" t="s">
        <v>4</v>
      </c>
      <c r="F5" s="4"/>
      <c r="G5" s="4"/>
      <c r="H5" s="4" t="s">
        <v>5</v>
      </c>
      <c r="I5" s="4"/>
      <c r="J5" s="4"/>
      <c r="K5" s="4" t="s">
        <v>6</v>
      </c>
    </row>
    <row r="6" customFormat="false" ht="15" hidden="false" customHeight="false" outlineLevel="0" collapsed="false">
      <c r="A6" s="4"/>
      <c r="B6" s="4" t="s">
        <v>7</v>
      </c>
      <c r="C6" s="4" t="s">
        <v>8</v>
      </c>
      <c r="D6" s="4" t="s">
        <v>9</v>
      </c>
      <c r="E6" s="4" t="s">
        <v>7</v>
      </c>
      <c r="F6" s="4" t="s">
        <v>8</v>
      </c>
      <c r="G6" s="4" t="s">
        <v>9</v>
      </c>
      <c r="H6" s="4" t="s">
        <v>7</v>
      </c>
      <c r="I6" s="4" t="s">
        <v>8</v>
      </c>
      <c r="J6" s="4" t="s">
        <v>9</v>
      </c>
      <c r="K6" s="4" t="s">
        <v>10</v>
      </c>
    </row>
    <row r="7" customFormat="false" ht="15" hidden="false" customHeight="false" outlineLevel="0" collapsed="false">
      <c r="A7" s="5" t="s">
        <v>2</v>
      </c>
      <c r="B7" s="6" t="n">
        <f aca="false">COUNTIFS(Data!$J$2:$J$334,"B-",Data!$G$2:$G$334,"MOB3+")</f>
        <v>18</v>
      </c>
      <c r="C7" s="6" t="n">
        <f aca="false">SUMPRODUCT(COUNTIFS(Data!$J$2:$J$334,{"A+","A","B+","B","B-","C"},Data!$G$2:$G$334,"MOB3+"))</f>
        <v>179</v>
      </c>
      <c r="D7" s="7" t="n">
        <f aca="false">IF(C7=0,"",B7/C7)</f>
        <v>0.100558659217877</v>
      </c>
      <c r="E7" s="6" t="n">
        <f aca="false">COUNTIFS(Data!$K$2:$K$334,"B-",Data!$H$2:$H$334,"MOB3+")</f>
        <v>21</v>
      </c>
      <c r="F7" s="6" t="n">
        <f aca="false">SUMPRODUCT(COUNTIFS(Data!$K$2:$K$334,{"A+","A","B+","B","B-","C"},Data!$H$2:$H$334,"MOB3+"))</f>
        <v>189</v>
      </c>
      <c r="G7" s="7" t="n">
        <f aca="false">IF(F7=0,"",E7/F7)</f>
        <v>0.111111111111111</v>
      </c>
      <c r="H7" s="6" t="n">
        <f aca="false">COUNTIFS(Data!$L$2:$L$334,"B-",Data!$I$2:$I$334,"MOB3+")</f>
        <v>21</v>
      </c>
      <c r="I7" s="6" t="n">
        <f aca="false">SUMPRODUCT(COUNTIFS(Data!$L$2:$L$334,{"A+","A","B+","B","B-","C"},Data!$I$2:$I$334,"MOB3+"))</f>
        <v>182</v>
      </c>
      <c r="J7" s="7" t="n">
        <f aca="false">IF(I7=0,"",H7/I7)</f>
        <v>0.115384615384615</v>
      </c>
      <c r="K7" s="8" t="n">
        <f aca="false">IF(OR(D7="",J7=""),"",(J7-D7)*100)</f>
        <v>1.48259561667383</v>
      </c>
    </row>
    <row r="9" customFormat="false" ht="15" hidden="false" customHeight="false" outlineLevel="0" collapsed="false">
      <c r="A9" s="3" t="s">
        <v>11</v>
      </c>
    </row>
    <row r="10" customFormat="false" ht="15" hidden="false" customHeight="false" outlineLevel="0" collapsed="false">
      <c r="A10" s="4" t="s">
        <v>11</v>
      </c>
      <c r="B10" s="4" t="s">
        <v>3</v>
      </c>
      <c r="C10" s="4"/>
      <c r="D10" s="4"/>
      <c r="E10" s="4" t="s">
        <v>4</v>
      </c>
      <c r="F10" s="4"/>
      <c r="G10" s="4"/>
      <c r="H10" s="4" t="s">
        <v>5</v>
      </c>
      <c r="I10" s="4"/>
      <c r="J10" s="4"/>
      <c r="K10" s="4" t="s">
        <v>6</v>
      </c>
    </row>
    <row r="11" customFormat="false" ht="15" hidden="false" customHeight="false" outlineLevel="0" collapsed="false">
      <c r="A11" s="4"/>
      <c r="B11" s="4" t="s">
        <v>7</v>
      </c>
      <c r="C11" s="4" t="s">
        <v>8</v>
      </c>
      <c r="D11" s="4" t="s">
        <v>9</v>
      </c>
      <c r="E11" s="4" t="s">
        <v>7</v>
      </c>
      <c r="F11" s="4" t="s">
        <v>8</v>
      </c>
      <c r="G11" s="4" t="s">
        <v>9</v>
      </c>
      <c r="H11" s="4" t="s">
        <v>7</v>
      </c>
      <c r="I11" s="4" t="s">
        <v>8</v>
      </c>
      <c r="J11" s="4" t="s">
        <v>9</v>
      </c>
      <c r="K11" s="4" t="s">
        <v>10</v>
      </c>
    </row>
    <row r="12" customFormat="false" ht="15" hidden="false" customHeight="false" outlineLevel="0" collapsed="false">
      <c r="A12" s="9" t="s">
        <v>12</v>
      </c>
      <c r="B12" s="10" t="n">
        <f aca="false">COUNTIFS(Data!$J$2:$J$334,"B-",Data!$C$2:$C$334,"North",Data!$G$2:$G$334,"MOB3+")</f>
        <v>15</v>
      </c>
      <c r="C12" s="10" t="n">
        <f aca="false">SUMPRODUCT(COUNTIFS(Data!$J$2:$J$334,{"A+","A","B+","B","B-","C"},Data!$C$2:$C$334,"North",Data!$G$2:$G$334,"MOB3+"))</f>
        <v>119</v>
      </c>
      <c r="D12" s="11" t="n">
        <f aca="false">IF(C12=0,"",B12/C12)</f>
        <v>0.126050420168067</v>
      </c>
      <c r="E12" s="10" t="n">
        <f aca="false">COUNTIFS(Data!$K$2:$K$334,"B-",Data!$C$2:$C$334,"North",Data!$H$2:$H$334,"MOB3+")</f>
        <v>12</v>
      </c>
      <c r="F12" s="10" t="n">
        <f aca="false">SUMPRODUCT(COUNTIFS(Data!$K$2:$K$334,{"A+","A","B+","B","B-","C"},Data!$C$2:$C$334,"North",Data!$H$2:$H$334,"MOB3+"))</f>
        <v>130</v>
      </c>
      <c r="G12" s="11" t="n">
        <f aca="false">IF(F12=0,"",E12/F12)</f>
        <v>0.0923076923076923</v>
      </c>
      <c r="H12" s="10" t="n">
        <f aca="false">COUNTIFS(Data!$L$2:$L$334,"B-",Data!$C$2:$C$334,"North",Data!$I$2:$I$334,"MOB3+")</f>
        <v>10</v>
      </c>
      <c r="I12" s="10" t="n">
        <f aca="false">SUMPRODUCT(COUNTIFS(Data!$L$2:$L$334,{"A+","A","B+","B","B-","C"},Data!$C$2:$C$334,"North",Data!$I$2:$I$334,"MOB3+"))</f>
        <v>118</v>
      </c>
      <c r="J12" s="11" t="n">
        <f aca="false">IF(I12=0,"",H12/I12)</f>
        <v>0.0847457627118644</v>
      </c>
      <c r="K12" s="12" t="n">
        <f aca="false">IF(OR(D12="",J12=""),"",(J12-D12)*100)</f>
        <v>-4.13046574562028</v>
      </c>
    </row>
    <row r="13" customFormat="false" ht="15" hidden="false" customHeight="false" outlineLevel="0" collapsed="false">
      <c r="A13" s="9" t="s">
        <v>13</v>
      </c>
      <c r="B13" s="10" t="n">
        <f aca="false">COUNTIFS(Data!$J$2:$J$334,"B-",Data!$C$2:$C$334,"South",Data!$G$2:$G$334,"MOB3+")</f>
        <v>3</v>
      </c>
      <c r="C13" s="10" t="n">
        <f aca="false">SUMPRODUCT(COUNTIFS(Data!$J$2:$J$334,{"A+","A","B+","B","B-","C"},Data!$C$2:$C$334,"South",Data!$G$2:$G$334,"MOB3+"))</f>
        <v>60</v>
      </c>
      <c r="D13" s="11" t="n">
        <f aca="false">IF(C13=0,"",B13/C13)</f>
        <v>0.05</v>
      </c>
      <c r="E13" s="10" t="n">
        <f aca="false">COUNTIFS(Data!$K$2:$K$334,"B-",Data!$C$2:$C$334,"South",Data!$H$2:$H$334,"MOB3+")</f>
        <v>9</v>
      </c>
      <c r="F13" s="10" t="n">
        <f aca="false">SUMPRODUCT(COUNTIFS(Data!$K$2:$K$334,{"A+","A","B+","B","B-","C"},Data!$C$2:$C$334,"South",Data!$H$2:$H$334,"MOB3+"))</f>
        <v>59</v>
      </c>
      <c r="G13" s="11" t="n">
        <f aca="false">IF(F13=0,"",E13/F13)</f>
        <v>0.152542372881356</v>
      </c>
      <c r="H13" s="10" t="n">
        <f aca="false">COUNTIFS(Data!$L$2:$L$334,"B-",Data!$C$2:$C$334,"South",Data!$I$2:$I$334,"MOB3+")</f>
        <v>11</v>
      </c>
      <c r="I13" s="10" t="n">
        <f aca="false">SUMPRODUCT(COUNTIFS(Data!$L$2:$L$334,{"A+","A","B+","B","B-","C"},Data!$C$2:$C$334,"South",Data!$I$2:$I$334,"MOB3+"))</f>
        <v>64</v>
      </c>
      <c r="J13" s="11" t="n">
        <f aca="false">IF(I13=0,"",H13/I13)</f>
        <v>0.171875</v>
      </c>
      <c r="K13" s="12" t="n">
        <f aca="false">IF(OR(D13="",J13=""),"",(J13-D13)*100)</f>
        <v>12.1875</v>
      </c>
    </row>
    <row r="15" customFormat="false" ht="15" hidden="false" customHeight="false" outlineLevel="0" collapsed="false">
      <c r="A15" s="3" t="s">
        <v>14</v>
      </c>
    </row>
    <row r="16" customFormat="false" ht="15" hidden="false" customHeight="false" outlineLevel="0" collapsed="false">
      <c r="A16" s="4" t="s">
        <v>14</v>
      </c>
      <c r="B16" s="4" t="s">
        <v>3</v>
      </c>
      <c r="C16" s="4"/>
      <c r="D16" s="4"/>
      <c r="E16" s="4" t="s">
        <v>4</v>
      </c>
      <c r="F16" s="4"/>
      <c r="G16" s="4"/>
      <c r="H16" s="4" t="s">
        <v>5</v>
      </c>
      <c r="I16" s="4"/>
      <c r="J16" s="4"/>
      <c r="K16" s="4" t="s">
        <v>6</v>
      </c>
    </row>
    <row r="17" customFormat="false" ht="15" hidden="false" customHeight="false" outlineLevel="0" collapsed="false">
      <c r="A17" s="4"/>
      <c r="B17" s="4" t="s">
        <v>7</v>
      </c>
      <c r="C17" s="4" t="s">
        <v>8</v>
      </c>
      <c r="D17" s="4" t="s">
        <v>9</v>
      </c>
      <c r="E17" s="4" t="s">
        <v>7</v>
      </c>
      <c r="F17" s="4" t="s">
        <v>8</v>
      </c>
      <c r="G17" s="4" t="s">
        <v>9</v>
      </c>
      <c r="H17" s="4" t="s">
        <v>7</v>
      </c>
      <c r="I17" s="4" t="s">
        <v>8</v>
      </c>
      <c r="J17" s="4" t="s">
        <v>9</v>
      </c>
      <c r="K17" s="4" t="s">
        <v>10</v>
      </c>
    </row>
    <row r="18" customFormat="false" ht="15" hidden="false" customHeight="false" outlineLevel="0" collapsed="false">
      <c r="A18" s="9" t="s">
        <v>15</v>
      </c>
      <c r="B18" s="10" t="n">
        <f aca="false">COUNTIFS(Data!$J$2:$J$334,"B-",Data!$D$2:$D$334,"FS",Data!$G$2:$G$334,"MOB3+")</f>
        <v>10</v>
      </c>
      <c r="C18" s="10" t="n">
        <f aca="false">SUMPRODUCT(COUNTIFS(Data!$J$2:$J$334,{"A+","A","B+","B","B-","C"},Data!$D$2:$D$334,"FS",Data!$G$2:$G$334,"MOB3+"))</f>
        <v>62</v>
      </c>
      <c r="D18" s="11" t="n">
        <f aca="false">IF(C18=0,"",B18/C18)</f>
        <v>0.161290322580645</v>
      </c>
      <c r="E18" s="10" t="n">
        <f aca="false">COUNTIFS(Data!$K$2:$K$334,"B-",Data!$D$2:$D$334,"FS",Data!$H$2:$H$334,"MOB3+")</f>
        <v>7</v>
      </c>
      <c r="F18" s="10" t="n">
        <f aca="false">SUMPRODUCT(COUNTIFS(Data!$K$2:$K$334,{"A+","A","B+","B","B-","C"},Data!$D$2:$D$334,"FS",Data!$H$2:$H$334,"MOB3+"))</f>
        <v>75</v>
      </c>
      <c r="G18" s="11" t="n">
        <f aca="false">IF(F18=0,"",E18/F18)</f>
        <v>0.0933333333333333</v>
      </c>
      <c r="H18" s="10" t="n">
        <f aca="false">COUNTIFS(Data!$L$2:$L$334,"B-",Data!$D$2:$D$334,"FS",Data!$I$2:$I$334,"MOB3+")</f>
        <v>3</v>
      </c>
      <c r="I18" s="10" t="n">
        <f aca="false">SUMPRODUCT(COUNTIFS(Data!$L$2:$L$334,{"A+","A","B+","B","B-","C"},Data!$D$2:$D$334,"FS",Data!$I$2:$I$334,"MOB3+"))</f>
        <v>62</v>
      </c>
      <c r="J18" s="11" t="n">
        <f aca="false">IF(I18=0,"",H18/I18)</f>
        <v>0.0483870967741936</v>
      </c>
      <c r="K18" s="12" t="n">
        <f aca="false">IF(OR(D18="",J18=""),"",(J18-D18)*100)</f>
        <v>-11.2903225806452</v>
      </c>
    </row>
    <row r="19" customFormat="false" ht="15" hidden="false" customHeight="false" outlineLevel="0" collapsed="false">
      <c r="A19" s="9" t="s">
        <v>16</v>
      </c>
      <c r="B19" s="10" t="n">
        <f aca="false">COUNTIFS(Data!$J$2:$J$334,"B-",Data!$D$2:$D$334,"SME",Data!$G$2:$G$334,"MOB3+")</f>
        <v>8</v>
      </c>
      <c r="C19" s="10" t="n">
        <f aca="false">SUMPRODUCT(COUNTIFS(Data!$J$2:$J$334,{"A+","A","B+","B","B-","C"},Data!$D$2:$D$334,"SME",Data!$G$2:$G$334,"MOB3+"))</f>
        <v>114</v>
      </c>
      <c r="D19" s="11" t="n">
        <f aca="false">IF(C19=0,"",B19/C19)</f>
        <v>0.0701754385964912</v>
      </c>
      <c r="E19" s="10" t="n">
        <f aca="false">COUNTIFS(Data!$K$2:$K$334,"B-",Data!$D$2:$D$334,"SME",Data!$H$2:$H$334,"MOB3+")</f>
        <v>14</v>
      </c>
      <c r="F19" s="10" t="n">
        <f aca="false">SUMPRODUCT(COUNTIFS(Data!$K$2:$K$334,{"A+","A","B+","B","B-","C"},Data!$D$2:$D$334,"SME",Data!$H$2:$H$334,"MOB3+"))</f>
        <v>113</v>
      </c>
      <c r="G19" s="11" t="n">
        <f aca="false">IF(F19=0,"",E19/F19)</f>
        <v>0.123893805309735</v>
      </c>
      <c r="H19" s="10" t="n">
        <f aca="false">COUNTIFS(Data!$L$2:$L$334,"B-",Data!$D$2:$D$334,"SME",Data!$I$2:$I$334,"MOB3+")</f>
        <v>17</v>
      </c>
      <c r="I19" s="10" t="n">
        <f aca="false">SUMPRODUCT(COUNTIFS(Data!$L$2:$L$334,{"A+","A","B+","B","B-","C"},Data!$D$2:$D$334,"SME",Data!$I$2:$I$334,"MOB3+"))</f>
        <v>118</v>
      </c>
      <c r="J19" s="11" t="n">
        <f aca="false">IF(I19=0,"",H19/I19)</f>
        <v>0.14406779661017</v>
      </c>
      <c r="K19" s="12" t="n">
        <f aca="false">IF(OR(D19="",J19=""),"",(J19-D19)*100)</f>
        <v>7.38923580136783</v>
      </c>
    </row>
    <row r="20" customFormat="false" ht="15" hidden="false" customHeight="false" outlineLevel="0" collapsed="false">
      <c r="A20" s="9" t="s">
        <v>17</v>
      </c>
      <c r="B20" s="10" t="n">
        <f aca="false">COUNTIFS(Data!$J$2:$J$334,"B-",Data!$D$2:$D$334,"BCI",Data!$G$2:$G$334,"MOB3+")</f>
        <v>0</v>
      </c>
      <c r="C20" s="10" t="n">
        <f aca="false">SUMPRODUCT(COUNTIFS(Data!$J$2:$J$334,{"A+","A","B+","B","B-","C"},Data!$D$2:$D$334,"BCI",Data!$G$2:$G$334,"MOB3+"))</f>
        <v>3</v>
      </c>
      <c r="D20" s="11" t="n">
        <f aca="false">IF(C20=0,"",B20/C20)</f>
        <v>0</v>
      </c>
      <c r="E20" s="10" t="n">
        <f aca="false">COUNTIFS(Data!$K$2:$K$334,"B-",Data!$D$2:$D$334,"BCI",Data!$H$2:$H$334,"MOB3+")</f>
        <v>0</v>
      </c>
      <c r="F20" s="10" t="n">
        <f aca="false">SUMPRODUCT(COUNTIFS(Data!$K$2:$K$334,{"A+","A","B+","B","B-","C"},Data!$D$2:$D$334,"BCI",Data!$H$2:$H$334,"MOB3+"))</f>
        <v>1</v>
      </c>
      <c r="G20" s="11" t="n">
        <f aca="false">IF(F20=0,"",E20/F20)</f>
        <v>0</v>
      </c>
      <c r="H20" s="10" t="n">
        <f aca="false">COUNTIFS(Data!$L$2:$L$334,"B-",Data!$D$2:$D$334,"BCI",Data!$I$2:$I$334,"MOB3+")</f>
        <v>1</v>
      </c>
      <c r="I20" s="10" t="n">
        <f aca="false">SUMPRODUCT(COUNTIFS(Data!$L$2:$L$334,{"A+","A","B+","B","B-","C"},Data!$D$2:$D$334,"BCI",Data!$I$2:$I$334,"MOB3+"))</f>
        <v>2</v>
      </c>
      <c r="J20" s="11" t="n">
        <f aca="false">IF(I20=0,"",H20/I20)</f>
        <v>0.5</v>
      </c>
      <c r="K20" s="12" t="n">
        <f aca="false">IF(OR(D20="",J20=""),"",(J20-D20)*100)</f>
        <v>50</v>
      </c>
    </row>
    <row r="22" customFormat="false" ht="15" hidden="false" customHeight="false" outlineLevel="0" collapsed="false">
      <c r="A22" s="3" t="s">
        <v>18</v>
      </c>
    </row>
    <row r="23" customFormat="false" ht="15" hidden="false" customHeight="false" outlineLevel="0" collapsed="false">
      <c r="A23" s="4" t="s">
        <v>18</v>
      </c>
      <c r="B23" s="4" t="s">
        <v>3</v>
      </c>
      <c r="C23" s="4"/>
      <c r="D23" s="4"/>
      <c r="E23" s="4" t="s">
        <v>4</v>
      </c>
      <c r="F23" s="4"/>
      <c r="G23" s="4"/>
      <c r="H23" s="4" t="s">
        <v>5</v>
      </c>
      <c r="I23" s="4"/>
      <c r="J23" s="4"/>
      <c r="K23" s="4" t="s">
        <v>6</v>
      </c>
    </row>
    <row r="24" customFormat="false" ht="15" hidden="false" customHeight="false" outlineLevel="0" collapsed="false">
      <c r="A24" s="4"/>
      <c r="B24" s="4" t="s">
        <v>7</v>
      </c>
      <c r="C24" s="4" t="s">
        <v>8</v>
      </c>
      <c r="D24" s="4" t="s">
        <v>9</v>
      </c>
      <c r="E24" s="4" t="s">
        <v>7</v>
      </c>
      <c r="F24" s="4" t="s">
        <v>8</v>
      </c>
      <c r="G24" s="4" t="s">
        <v>9</v>
      </c>
      <c r="H24" s="4" t="s">
        <v>7</v>
      </c>
      <c r="I24" s="4" t="s">
        <v>8</v>
      </c>
      <c r="J24" s="4" t="s">
        <v>9</v>
      </c>
      <c r="K24" s="4" t="s">
        <v>10</v>
      </c>
    </row>
    <row r="25" customFormat="false" ht="15" hidden="false" customHeight="false" outlineLevel="0" collapsed="false">
      <c r="A25" s="9" t="s">
        <v>19</v>
      </c>
      <c r="B25" s="10" t="n">
        <f aca="false">COUNTIFS(Data!$J$2:$J$334,"B-",Data!$C$2:$C$334,"North",Data!$D$2:$D$334,"FS",Data!$G$2:$G$334,"MOB3+")</f>
        <v>9</v>
      </c>
      <c r="C25" s="10" t="n">
        <f aca="false">SUMPRODUCT(COUNTIFS(Data!$J$2:$J$334,{"A+","A","B+","B","B-","C"},Data!$C$2:$C$334,"North",Data!$D$2:$D$334,"FS",Data!$G$2:$G$334,"MOB3+"))</f>
        <v>57</v>
      </c>
      <c r="D25" s="11" t="n">
        <f aca="false">IF(C25=0,"",B25/C25)</f>
        <v>0.157894736842105</v>
      </c>
      <c r="E25" s="10" t="n">
        <f aca="false">COUNTIFS(Data!$K$2:$K$334,"B-",Data!$C$2:$C$334,"North",Data!$D$2:$D$334,"FS",Data!$H$2:$H$334,"MOB3+")</f>
        <v>5</v>
      </c>
      <c r="F25" s="10" t="n">
        <f aca="false">SUMPRODUCT(COUNTIFS(Data!$K$2:$K$334,{"A+","A","B+","B","B-","C"},Data!$C$2:$C$334,"North",Data!$D$2:$D$334,"FS",Data!$H$2:$H$334,"MOB3+"))</f>
        <v>65</v>
      </c>
      <c r="G25" s="11" t="n">
        <f aca="false">IF(F25=0,"",E25/F25)</f>
        <v>0.0769230769230769</v>
      </c>
      <c r="H25" s="10" t="n">
        <f aca="false">COUNTIFS(Data!$L$2:$L$334,"B-",Data!$C$2:$C$334,"North",Data!$D$2:$D$334,"FS",Data!$I$2:$I$334,"MOB3+")</f>
        <v>2</v>
      </c>
      <c r="I25" s="10" t="n">
        <f aca="false">SUMPRODUCT(COUNTIFS(Data!$L$2:$L$334,{"A+","A","B+","B","B-","C"},Data!$C$2:$C$334,"North",Data!$D$2:$D$334,"FS",Data!$I$2:$I$334,"MOB3+"))</f>
        <v>51</v>
      </c>
      <c r="J25" s="11" t="n">
        <f aca="false">IF(I25=0,"",H25/I25)</f>
        <v>0.0392156862745098</v>
      </c>
      <c r="K25" s="12" t="n">
        <f aca="false">IF(OR(D25="",J25=""),"",(J25-D25)*100)</f>
        <v>-11.8679050567595</v>
      </c>
    </row>
    <row r="26" customFormat="false" ht="15" hidden="false" customHeight="false" outlineLevel="0" collapsed="false">
      <c r="A26" s="9" t="s">
        <v>20</v>
      </c>
      <c r="B26" s="10" t="n">
        <f aca="false">COUNTIFS(Data!$J$2:$J$334,"B-",Data!$C$2:$C$334,"North",Data!$D$2:$D$334,"SME",Data!$G$2:$G$334,"MOB3+")</f>
        <v>6</v>
      </c>
      <c r="C26" s="10" t="n">
        <f aca="false">SUMPRODUCT(COUNTIFS(Data!$J$2:$J$334,{"A+","A","B+","B","B-","C"},Data!$C$2:$C$334,"North",Data!$D$2:$D$334,"SME",Data!$G$2:$G$334,"MOB3+"))</f>
        <v>62</v>
      </c>
      <c r="D26" s="11" t="n">
        <f aca="false">IF(C26=0,"",B26/C26)</f>
        <v>0.0967741935483871</v>
      </c>
      <c r="E26" s="10" t="n">
        <f aca="false">COUNTIFS(Data!$K$2:$K$334,"B-",Data!$C$2:$C$334,"North",Data!$D$2:$D$334,"SME",Data!$H$2:$H$334,"MOB3+")</f>
        <v>7</v>
      </c>
      <c r="F26" s="10" t="n">
        <f aca="false">SUMPRODUCT(COUNTIFS(Data!$K$2:$K$334,{"A+","A","B+","B","B-","C"},Data!$C$2:$C$334,"North",Data!$D$2:$D$334,"SME",Data!$H$2:$H$334,"MOB3+"))</f>
        <v>65</v>
      </c>
      <c r="G26" s="11" t="n">
        <f aca="false">IF(F26=0,"",E26/F26)</f>
        <v>0.107692307692308</v>
      </c>
      <c r="H26" s="10" t="n">
        <f aca="false">COUNTIFS(Data!$L$2:$L$334,"B-",Data!$C$2:$C$334,"North",Data!$D$2:$D$334,"SME",Data!$I$2:$I$334,"MOB3+")</f>
        <v>8</v>
      </c>
      <c r="I26" s="10" t="n">
        <f aca="false">SUMPRODUCT(COUNTIFS(Data!$L$2:$L$334,{"A+","A","B+","B","B-","C"},Data!$C$2:$C$334,"North",Data!$D$2:$D$334,"SME",Data!$I$2:$I$334,"MOB3+"))</f>
        <v>67</v>
      </c>
      <c r="J26" s="11" t="n">
        <f aca="false">IF(I26=0,"",H26/I26)</f>
        <v>0.119402985074627</v>
      </c>
      <c r="K26" s="12" t="n">
        <f aca="false">IF(OR(D26="",J26=""),"",(J26-D26)*100)</f>
        <v>2.26287915262398</v>
      </c>
    </row>
    <row r="27" customFormat="false" ht="15" hidden="false" customHeight="false" outlineLevel="0" collapsed="false">
      <c r="A27" s="9" t="s">
        <v>21</v>
      </c>
      <c r="B27" s="10" t="n">
        <f aca="false">COUNTIFS(Data!$J$2:$J$334,"B-",Data!$C$2:$C$334,"South",Data!$D$2:$D$334,"FS",Data!$G$2:$G$334,"MOB3+")</f>
        <v>1</v>
      </c>
      <c r="C27" s="10" t="n">
        <f aca="false">SUMPRODUCT(COUNTIFS(Data!$J$2:$J$334,{"A+","A","B+","B","B-","C"},Data!$C$2:$C$334,"South",Data!$D$2:$D$334,"FS",Data!$G$2:$G$334,"MOB3+"))</f>
        <v>5</v>
      </c>
      <c r="D27" s="11" t="n">
        <f aca="false">IF(C27=0,"",B27/C27)</f>
        <v>0.2</v>
      </c>
      <c r="E27" s="10" t="n">
        <f aca="false">COUNTIFS(Data!$K$2:$K$334,"B-",Data!$C$2:$C$334,"South",Data!$D$2:$D$334,"FS",Data!$H$2:$H$334,"MOB3+")</f>
        <v>2</v>
      </c>
      <c r="F27" s="10" t="n">
        <f aca="false">SUMPRODUCT(COUNTIFS(Data!$K$2:$K$334,{"A+","A","B+","B","B-","C"},Data!$C$2:$C$334,"South",Data!$D$2:$D$334,"FS",Data!$H$2:$H$334,"MOB3+"))</f>
        <v>10</v>
      </c>
      <c r="G27" s="11" t="n">
        <f aca="false">IF(F27=0,"",E27/F27)</f>
        <v>0.2</v>
      </c>
      <c r="H27" s="10" t="n">
        <f aca="false">COUNTIFS(Data!$L$2:$L$334,"B-",Data!$C$2:$C$334,"South",Data!$D$2:$D$334,"FS",Data!$I$2:$I$334,"MOB3+")</f>
        <v>1</v>
      </c>
      <c r="I27" s="10" t="n">
        <f aca="false">SUMPRODUCT(COUNTIFS(Data!$L$2:$L$334,{"A+","A","B+","B","B-","C"},Data!$C$2:$C$334,"South",Data!$D$2:$D$334,"FS",Data!$I$2:$I$334,"MOB3+"))</f>
        <v>11</v>
      </c>
      <c r="J27" s="11" t="n">
        <f aca="false">IF(I27=0,"",H27/I27)</f>
        <v>0.0909090909090909</v>
      </c>
      <c r="K27" s="12" t="n">
        <f aca="false">IF(OR(D27="",J27=""),"",(J27-D27)*100)</f>
        <v>-10.9090909090909</v>
      </c>
    </row>
    <row r="28" customFormat="false" ht="15" hidden="false" customHeight="false" outlineLevel="0" collapsed="false">
      <c r="A28" s="9" t="s">
        <v>22</v>
      </c>
      <c r="B28" s="10" t="n">
        <f aca="false">COUNTIFS(Data!$J$2:$J$334,"B-",Data!$C$2:$C$334,"South",Data!$D$2:$D$334,"SME",Data!$G$2:$G$334,"MOB3+")</f>
        <v>2</v>
      </c>
      <c r="C28" s="10" t="n">
        <f aca="false">SUMPRODUCT(COUNTIFS(Data!$J$2:$J$334,{"A+","A","B+","B","B-","C"},Data!$C$2:$C$334,"South",Data!$D$2:$D$334,"SME",Data!$G$2:$G$334,"MOB3+"))</f>
        <v>52</v>
      </c>
      <c r="D28" s="11" t="n">
        <f aca="false">IF(C28=0,"",B28/C28)</f>
        <v>0.0384615384615385</v>
      </c>
      <c r="E28" s="10" t="n">
        <f aca="false">COUNTIFS(Data!$K$2:$K$334,"B-",Data!$C$2:$C$334,"South",Data!$D$2:$D$334,"SME",Data!$H$2:$H$334,"MOB3+")</f>
        <v>7</v>
      </c>
      <c r="F28" s="10" t="n">
        <f aca="false">SUMPRODUCT(COUNTIFS(Data!$K$2:$K$334,{"A+","A","B+","B","B-","C"},Data!$C$2:$C$334,"South",Data!$D$2:$D$334,"SME",Data!$H$2:$H$334,"MOB3+"))</f>
        <v>48</v>
      </c>
      <c r="G28" s="11" t="n">
        <f aca="false">IF(F28=0,"",E28/F28)</f>
        <v>0.145833333333333</v>
      </c>
      <c r="H28" s="10" t="n">
        <f aca="false">COUNTIFS(Data!$L$2:$L$334,"B-",Data!$C$2:$C$334,"South",Data!$D$2:$D$334,"SME",Data!$I$2:$I$334,"MOB3+")</f>
        <v>9</v>
      </c>
      <c r="I28" s="10" t="n">
        <f aca="false">SUMPRODUCT(COUNTIFS(Data!$L$2:$L$334,{"A+","A","B+","B","B-","C"},Data!$C$2:$C$334,"South",Data!$D$2:$D$334,"SME",Data!$I$2:$I$334,"MOB3+"))</f>
        <v>51</v>
      </c>
      <c r="J28" s="11" t="n">
        <f aca="false">IF(I28=0,"",H28/I28)</f>
        <v>0.176470588235294</v>
      </c>
      <c r="K28" s="12" t="n">
        <f aca="false">IF(OR(D28="",J28=""),"",(J28-D28)*100)</f>
        <v>13.8009049773756</v>
      </c>
    </row>
    <row r="29" customFormat="false" ht="15" hidden="false" customHeight="false" outlineLevel="0" collapsed="false">
      <c r="A29" s="9" t="s">
        <v>23</v>
      </c>
      <c r="B29" s="10" t="n">
        <f aca="false">COUNTIFS(Data!$J$2:$J$334,"B-",Data!$C$2:$C$334,"South",Data!$D$2:$D$334,"BCI",Data!$G$2:$G$334,"MOB3+")</f>
        <v>0</v>
      </c>
      <c r="C29" s="10" t="n">
        <f aca="false">SUMPRODUCT(COUNTIFS(Data!$J$2:$J$334,{"A+","A","B+","B","B-","C"},Data!$C$2:$C$334,"South",Data!$D$2:$D$334,"BCI",Data!$G$2:$G$334,"MOB3+"))</f>
        <v>3</v>
      </c>
      <c r="D29" s="11" t="n">
        <f aca="false">IF(C29=0,"",B29/C29)</f>
        <v>0</v>
      </c>
      <c r="E29" s="10" t="n">
        <f aca="false">COUNTIFS(Data!$K$2:$K$334,"B-",Data!$C$2:$C$334,"South",Data!$D$2:$D$334,"BCI",Data!$H$2:$H$334,"MOB3+")</f>
        <v>0</v>
      </c>
      <c r="F29" s="10" t="n">
        <f aca="false">SUMPRODUCT(COUNTIFS(Data!$K$2:$K$334,{"A+","A","B+","B","B-","C"},Data!$C$2:$C$334,"South",Data!$D$2:$D$334,"BCI",Data!$H$2:$H$334,"MOB3+"))</f>
        <v>1</v>
      </c>
      <c r="G29" s="11" t="n">
        <f aca="false">IF(F29=0,"",E29/F29)</f>
        <v>0</v>
      </c>
      <c r="H29" s="10" t="n">
        <f aca="false">COUNTIFS(Data!$L$2:$L$334,"B-",Data!$C$2:$C$334,"South",Data!$D$2:$D$334,"BCI",Data!$I$2:$I$334,"MOB3+")</f>
        <v>1</v>
      </c>
      <c r="I29" s="10" t="n">
        <f aca="false">SUMPRODUCT(COUNTIFS(Data!$L$2:$L$334,{"A+","A","B+","B","B-","C"},Data!$C$2:$C$334,"South",Data!$D$2:$D$334,"BCI",Data!$I$2:$I$334,"MOB3+"))</f>
        <v>2</v>
      </c>
      <c r="J29" s="11" t="n">
        <f aca="false">IF(I29=0,"",H29/I29)</f>
        <v>0.5</v>
      </c>
      <c r="K29" s="12" t="n">
        <f aca="false">IF(OR(D29="",J29=""),"",(J29-D29)*100)</f>
        <v>50</v>
      </c>
    </row>
    <row r="31" customFormat="false" ht="15" hidden="false" customHeight="false" outlineLevel="0" collapsed="false">
      <c r="A31" s="3" t="s">
        <v>24</v>
      </c>
    </row>
    <row r="32" customFormat="false" ht="15" hidden="false" customHeight="false" outlineLevel="0" collapsed="false">
      <c r="A32" s="4" t="s">
        <v>24</v>
      </c>
      <c r="B32" s="4" t="s">
        <v>3</v>
      </c>
      <c r="C32" s="4"/>
      <c r="D32" s="4"/>
      <c r="E32" s="4" t="s">
        <v>4</v>
      </c>
      <c r="F32" s="4"/>
      <c r="G32" s="4"/>
      <c r="H32" s="4" t="s">
        <v>5</v>
      </c>
      <c r="I32" s="4"/>
      <c r="J32" s="4"/>
      <c r="K32" s="4" t="s">
        <v>6</v>
      </c>
    </row>
    <row r="33" customFormat="false" ht="15" hidden="false" customHeight="false" outlineLevel="0" collapsed="false">
      <c r="A33" s="4"/>
      <c r="B33" s="4" t="s">
        <v>7</v>
      </c>
      <c r="C33" s="4" t="s">
        <v>8</v>
      </c>
      <c r="D33" s="4" t="s">
        <v>9</v>
      </c>
      <c r="E33" s="4" t="s">
        <v>7</v>
      </c>
      <c r="F33" s="4" t="s">
        <v>8</v>
      </c>
      <c r="G33" s="4" t="s">
        <v>9</v>
      </c>
      <c r="H33" s="4" t="s">
        <v>7</v>
      </c>
      <c r="I33" s="4" t="s">
        <v>8</v>
      </c>
      <c r="J33" s="4" t="s">
        <v>9</v>
      </c>
      <c r="K33" s="4" t="s">
        <v>10</v>
      </c>
    </row>
    <row r="34" customFormat="false" ht="15" hidden="false" customHeight="false" outlineLevel="0" collapsed="false">
      <c r="A34" s="9" t="s">
        <v>25</v>
      </c>
      <c r="B34" s="10" t="n">
        <f aca="false">COUNTIFS(Data!$J$2:$J$334,"B-",Data!$B$2:$B$334,"HN-F1",Data!$G$2:$G$334,"MOB3+")</f>
        <v>0</v>
      </c>
      <c r="C34" s="10" t="n">
        <f aca="false">SUMPRODUCT(COUNTIFS(Data!$J$2:$J$334,{"A+","A","B+","B","B-","C"},Data!$B$2:$B$334,"HN-F1",Data!$G$2:$G$334,"MOB3+"))</f>
        <v>2</v>
      </c>
      <c r="D34" s="11" t="n">
        <f aca="false">IF(C34=0,"",B34/C34)</f>
        <v>0</v>
      </c>
      <c r="E34" s="10" t="n">
        <f aca="false">COUNTIFS(Data!$K$2:$K$334,"B-",Data!$B$2:$B$334,"HN-F1",Data!$H$2:$H$334,"MOB3+")</f>
        <v>0</v>
      </c>
      <c r="F34" s="10" t="n">
        <f aca="false">SUMPRODUCT(COUNTIFS(Data!$K$2:$K$334,{"A+","A","B+","B","B-","C"},Data!$B$2:$B$334,"HN-F1",Data!$H$2:$H$334,"MOB3+"))</f>
        <v>2</v>
      </c>
      <c r="G34" s="11" t="n">
        <f aca="false">IF(F34=0,"",E34/F34)</f>
        <v>0</v>
      </c>
      <c r="H34" s="10" t="n">
        <f aca="false">COUNTIFS(Data!$L$2:$L$334,"B-",Data!$B$2:$B$334,"HN-F1",Data!$I$2:$I$334,"MOB3+")</f>
        <v>0</v>
      </c>
      <c r="I34" s="10" t="n">
        <f aca="false">SUMPRODUCT(COUNTIFS(Data!$L$2:$L$334,{"A+","A","B+","B","B-","C"},Data!$B$2:$B$334,"HN-F1",Data!$I$2:$I$334,"MOB3+"))</f>
        <v>1</v>
      </c>
      <c r="J34" s="11" t="n">
        <f aca="false">IF(I34=0,"",H34/I34)</f>
        <v>0</v>
      </c>
      <c r="K34" s="12" t="n">
        <f aca="false">IF(OR(D34="",J34=""),"",(J34-D34)*100)</f>
        <v>0</v>
      </c>
    </row>
    <row r="35" customFormat="false" ht="15" hidden="false" customHeight="false" outlineLevel="0" collapsed="false">
      <c r="A35" s="9" t="s">
        <v>26</v>
      </c>
      <c r="B35" s="10" t="n">
        <f aca="false">COUNTIFS(Data!$J$2:$J$334,"B-",Data!$B$2:$B$334,"HN-F2",Data!$G$2:$G$334,"MOB3+")</f>
        <v>3</v>
      </c>
      <c r="C35" s="10" t="n">
        <f aca="false">SUMPRODUCT(COUNTIFS(Data!$J$2:$J$334,{"A+","A","B+","B","B-","C"},Data!$B$2:$B$334,"HN-F2",Data!$G$2:$G$334,"MOB3+"))</f>
        <v>9</v>
      </c>
      <c r="D35" s="11" t="n">
        <f aca="false">IF(C35=0,"",B35/C35)</f>
        <v>0.333333333333333</v>
      </c>
      <c r="E35" s="10" t="n">
        <f aca="false">COUNTIFS(Data!$K$2:$K$334,"B-",Data!$B$2:$B$334,"HN-F2",Data!$H$2:$H$334,"MOB3+")</f>
        <v>0</v>
      </c>
      <c r="F35" s="10" t="n">
        <f aca="false">SUMPRODUCT(COUNTIFS(Data!$K$2:$K$334,{"A+","A","B+","B","B-","C"},Data!$B$2:$B$334,"HN-F2",Data!$H$2:$H$334,"MOB3+"))</f>
        <v>9</v>
      </c>
      <c r="G35" s="11" t="n">
        <f aca="false">IF(F35=0,"",E35/F35)</f>
        <v>0</v>
      </c>
      <c r="H35" s="10" t="n">
        <f aca="false">COUNTIFS(Data!$L$2:$L$334,"B-",Data!$B$2:$B$334,"HN-F2",Data!$I$2:$I$334,"MOB3+")</f>
        <v>1</v>
      </c>
      <c r="I35" s="10" t="n">
        <f aca="false">SUMPRODUCT(COUNTIFS(Data!$L$2:$L$334,{"A+","A","B+","B","B-","C"},Data!$B$2:$B$334,"HN-F2",Data!$I$2:$I$334,"MOB3+"))</f>
        <v>9</v>
      </c>
      <c r="J35" s="11" t="n">
        <f aca="false">IF(I35=0,"",H35/I35)</f>
        <v>0.111111111111111</v>
      </c>
      <c r="K35" s="12" t="n">
        <f aca="false">IF(OR(D35="",J35=""),"",(J35-D35)*100)</f>
        <v>-22.2222222222222</v>
      </c>
    </row>
    <row r="36" customFormat="false" ht="15" hidden="false" customHeight="false" outlineLevel="0" collapsed="false">
      <c r="A36" s="9" t="s">
        <v>27</v>
      </c>
      <c r="B36" s="10" t="n">
        <f aca="false">COUNTIFS(Data!$J$2:$J$334,"B-",Data!$B$2:$B$334,"HN-F3",Data!$G$2:$G$334,"MOB3+")</f>
        <v>0</v>
      </c>
      <c r="C36" s="10" t="n">
        <f aca="false">SUMPRODUCT(COUNTIFS(Data!$J$2:$J$334,{"A+","A","B+","B","B-","C"},Data!$B$2:$B$334,"HN-F3",Data!$G$2:$G$334,"MOB3+"))</f>
        <v>8</v>
      </c>
      <c r="D36" s="11" t="n">
        <f aca="false">IF(C36=0,"",B36/C36)</f>
        <v>0</v>
      </c>
      <c r="E36" s="10" t="n">
        <f aca="false">COUNTIFS(Data!$K$2:$K$334,"B-",Data!$B$2:$B$334,"HN-F3",Data!$H$2:$H$334,"MOB3+")</f>
        <v>1</v>
      </c>
      <c r="F36" s="10" t="n">
        <f aca="false">SUMPRODUCT(COUNTIFS(Data!$K$2:$K$334,{"A+","A","B+","B","B-","C"},Data!$B$2:$B$334,"HN-F3",Data!$H$2:$H$334,"MOB3+"))</f>
        <v>10</v>
      </c>
      <c r="G36" s="11" t="n">
        <f aca="false">IF(F36=0,"",E36/F36)</f>
        <v>0.1</v>
      </c>
      <c r="H36" s="10" t="n">
        <f aca="false">COUNTIFS(Data!$L$2:$L$334,"B-",Data!$B$2:$B$334,"HN-F3",Data!$I$2:$I$334,"MOB3+")</f>
        <v>0</v>
      </c>
      <c r="I36" s="10" t="n">
        <f aca="false">SUMPRODUCT(COUNTIFS(Data!$L$2:$L$334,{"A+","A","B+","B","B-","C"},Data!$B$2:$B$334,"HN-F3",Data!$I$2:$I$334,"MOB3+"))</f>
        <v>8</v>
      </c>
      <c r="J36" s="11" t="n">
        <f aca="false">IF(I36=0,"",H36/I36)</f>
        <v>0</v>
      </c>
      <c r="K36" s="12" t="n">
        <f aca="false">IF(OR(D36="",J36=""),"",(J36-D36)*100)</f>
        <v>0</v>
      </c>
    </row>
    <row r="37" customFormat="false" ht="15" hidden="false" customHeight="false" outlineLevel="0" collapsed="false">
      <c r="A37" s="9" t="s">
        <v>28</v>
      </c>
      <c r="B37" s="10" t="n">
        <f aca="false">COUNTIFS(Data!$J$2:$J$334,"B-",Data!$B$2:$B$334,"HN-F4",Data!$G$2:$G$334,"MOB3+")</f>
        <v>2</v>
      </c>
      <c r="C37" s="10" t="n">
        <f aca="false">SUMPRODUCT(COUNTIFS(Data!$J$2:$J$334,{"A+","A","B+","B","B-","C"},Data!$B$2:$B$334,"HN-F4",Data!$G$2:$G$334,"MOB3+"))</f>
        <v>8</v>
      </c>
      <c r="D37" s="11" t="n">
        <f aca="false">IF(C37=0,"",B37/C37)</f>
        <v>0.25</v>
      </c>
      <c r="E37" s="10" t="n">
        <f aca="false">COUNTIFS(Data!$K$2:$K$334,"B-",Data!$B$2:$B$334,"HN-F4",Data!$H$2:$H$334,"MOB3+")</f>
        <v>2</v>
      </c>
      <c r="F37" s="10" t="n">
        <f aca="false">SUMPRODUCT(COUNTIFS(Data!$K$2:$K$334,{"A+","A","B+","B","B-","C"},Data!$B$2:$B$334,"HN-F4",Data!$H$2:$H$334,"MOB3+"))</f>
        <v>12</v>
      </c>
      <c r="G37" s="11" t="n">
        <f aca="false">IF(F37=0,"",E37/F37)</f>
        <v>0.166666666666667</v>
      </c>
      <c r="H37" s="10" t="n">
        <f aca="false">COUNTIFS(Data!$L$2:$L$334,"B-",Data!$B$2:$B$334,"HN-F4",Data!$I$2:$I$334,"MOB3+")</f>
        <v>0</v>
      </c>
      <c r="I37" s="10" t="n">
        <f aca="false">SUMPRODUCT(COUNTIFS(Data!$L$2:$L$334,{"A+","A","B+","B","B-","C"},Data!$B$2:$B$334,"HN-F4",Data!$I$2:$I$334,"MOB3+"))</f>
        <v>8</v>
      </c>
      <c r="J37" s="11" t="n">
        <f aca="false">IF(I37=0,"",H37/I37)</f>
        <v>0</v>
      </c>
      <c r="K37" s="12" t="n">
        <f aca="false">IF(OR(D37="",J37=""),"",(J37-D37)*100)</f>
        <v>-25</v>
      </c>
    </row>
    <row r="38" customFormat="false" ht="15" hidden="false" customHeight="false" outlineLevel="0" collapsed="false">
      <c r="A38" s="9" t="s">
        <v>29</v>
      </c>
      <c r="B38" s="10" t="n">
        <f aca="false">COUNTIFS(Data!$J$2:$J$334,"B-",Data!$B$2:$B$334,"HN-F5",Data!$G$2:$G$334,"MOB3+")</f>
        <v>1</v>
      </c>
      <c r="C38" s="10" t="n">
        <f aca="false">SUMPRODUCT(COUNTIFS(Data!$J$2:$J$334,{"A+","A","B+","B","B-","C"},Data!$B$2:$B$334,"HN-F5",Data!$G$2:$G$334,"MOB3+"))</f>
        <v>7</v>
      </c>
      <c r="D38" s="11" t="n">
        <f aca="false">IF(C38=0,"",B38/C38)</f>
        <v>0.142857142857143</v>
      </c>
      <c r="E38" s="10" t="n">
        <f aca="false">COUNTIFS(Data!$K$2:$K$334,"B-",Data!$B$2:$B$334,"HN-F5",Data!$H$2:$H$334,"MOB3+")</f>
        <v>1</v>
      </c>
      <c r="F38" s="10" t="n">
        <f aca="false">SUMPRODUCT(COUNTIFS(Data!$K$2:$K$334,{"A+","A","B+","B","B-","C"},Data!$B$2:$B$334,"HN-F5",Data!$H$2:$H$334,"MOB3+"))</f>
        <v>9</v>
      </c>
      <c r="G38" s="11" t="n">
        <f aca="false">IF(F38=0,"",E38/F38)</f>
        <v>0.111111111111111</v>
      </c>
      <c r="H38" s="10" t="n">
        <f aca="false">COUNTIFS(Data!$L$2:$L$334,"B-",Data!$B$2:$B$334,"HN-F5",Data!$I$2:$I$334,"MOB3+")</f>
        <v>0</v>
      </c>
      <c r="I38" s="10" t="n">
        <f aca="false">SUMPRODUCT(COUNTIFS(Data!$L$2:$L$334,{"A+","A","B+","B","B-","C"},Data!$B$2:$B$334,"HN-F5",Data!$I$2:$I$334,"MOB3+"))</f>
        <v>5</v>
      </c>
      <c r="J38" s="11" t="n">
        <f aca="false">IF(I38=0,"",H38/I38)</f>
        <v>0</v>
      </c>
      <c r="K38" s="12" t="n">
        <f aca="false">IF(OR(D38="",J38=""),"",(J38-D38)*100)</f>
        <v>-14.2857142857143</v>
      </c>
    </row>
    <row r="39" customFormat="false" ht="15" hidden="false" customHeight="false" outlineLevel="0" collapsed="false">
      <c r="A39" s="9" t="s">
        <v>30</v>
      </c>
      <c r="B39" s="10" t="n">
        <f aca="false">COUNTIFS(Data!$J$2:$J$334,"B-",Data!$B$2:$B$334,"HN-F6",Data!$G$2:$G$334,"MOB3+")</f>
        <v>0</v>
      </c>
      <c r="C39" s="10" t="n">
        <f aca="false">SUMPRODUCT(COUNTIFS(Data!$J$2:$J$334,{"A+","A","B+","B","B-","C"},Data!$B$2:$B$334,"HN-F6",Data!$G$2:$G$334,"MOB3+"))</f>
        <v>10</v>
      </c>
      <c r="D39" s="11" t="n">
        <f aca="false">IF(C39=0,"",B39/C39)</f>
        <v>0</v>
      </c>
      <c r="E39" s="10" t="n">
        <f aca="false">COUNTIFS(Data!$K$2:$K$334,"B-",Data!$B$2:$B$334,"HN-F6",Data!$H$2:$H$334,"MOB3+")</f>
        <v>0</v>
      </c>
      <c r="F39" s="10" t="n">
        <f aca="false">SUMPRODUCT(COUNTIFS(Data!$K$2:$K$334,{"A+","A","B+","B","B-","C"},Data!$B$2:$B$334,"HN-F6",Data!$H$2:$H$334,"MOB3+"))</f>
        <v>10</v>
      </c>
      <c r="G39" s="11" t="n">
        <f aca="false">IF(F39=0,"",E39/F39)</f>
        <v>0</v>
      </c>
      <c r="H39" s="10" t="n">
        <f aca="false">COUNTIFS(Data!$L$2:$L$334,"B-",Data!$B$2:$B$334,"HN-F6",Data!$I$2:$I$334,"MOB3+")</f>
        <v>0</v>
      </c>
      <c r="I39" s="10" t="n">
        <f aca="false">SUMPRODUCT(COUNTIFS(Data!$L$2:$L$334,{"A+","A","B+","B","B-","C"},Data!$B$2:$B$334,"HN-F6",Data!$I$2:$I$334,"MOB3+"))</f>
        <v>7</v>
      </c>
      <c r="J39" s="11" t="n">
        <f aca="false">IF(I39=0,"",H39/I39)</f>
        <v>0</v>
      </c>
      <c r="K39" s="12" t="n">
        <f aca="false">IF(OR(D39="",J39=""),"",(J39-D39)*100)</f>
        <v>0</v>
      </c>
    </row>
    <row r="40" customFormat="false" ht="15" hidden="false" customHeight="false" outlineLevel="0" collapsed="false">
      <c r="A40" s="9" t="s">
        <v>31</v>
      </c>
      <c r="B40" s="10" t="n">
        <f aca="false">COUNTIFS(Data!$J$2:$J$334,"B-",Data!$B$2:$B$334,"HN-FX",Data!$G$2:$G$334,"MOB3+")</f>
        <v>1</v>
      </c>
      <c r="C40" s="10" t="n">
        <f aca="false">SUMPRODUCT(COUNTIFS(Data!$J$2:$J$334,{"A+","A","B+","B","B-","C"},Data!$B$2:$B$334,"HN-FX",Data!$G$2:$G$334,"MOB3+"))</f>
        <v>7</v>
      </c>
      <c r="D40" s="11" t="n">
        <f aca="false">IF(C40=0,"",B40/C40)</f>
        <v>0.142857142857143</v>
      </c>
      <c r="E40" s="10" t="n">
        <f aca="false">COUNTIFS(Data!$K$2:$K$334,"B-",Data!$B$2:$B$334,"HN-FX",Data!$H$2:$H$334,"MOB3+")</f>
        <v>1</v>
      </c>
      <c r="F40" s="10" t="n">
        <f aca="false">SUMPRODUCT(COUNTIFS(Data!$K$2:$K$334,{"A+","A","B+","B","B-","C"},Data!$B$2:$B$334,"HN-FX",Data!$H$2:$H$334,"MOB3+"))</f>
        <v>7</v>
      </c>
      <c r="G40" s="11" t="n">
        <f aca="false">IF(F40=0,"",E40/F40)</f>
        <v>0.142857142857143</v>
      </c>
      <c r="H40" s="10" t="n">
        <f aca="false">COUNTIFS(Data!$L$2:$L$334,"B-",Data!$B$2:$B$334,"HN-FX",Data!$I$2:$I$334,"MOB3+")</f>
        <v>1</v>
      </c>
      <c r="I40" s="10" t="n">
        <f aca="false">SUMPRODUCT(COUNTIFS(Data!$L$2:$L$334,{"A+","A","B+","B","B-","C"},Data!$B$2:$B$334,"HN-FX",Data!$I$2:$I$334,"MOB3+"))</f>
        <v>7</v>
      </c>
      <c r="J40" s="11" t="n">
        <f aca="false">IF(I40=0,"",H40/I40)</f>
        <v>0.142857142857143</v>
      </c>
      <c r="K40" s="12" t="n">
        <f aca="false">IF(OR(D40="",J40=""),"",(J40-D40)*100)</f>
        <v>0</v>
      </c>
    </row>
    <row r="41" customFormat="false" ht="15" hidden="false" customHeight="false" outlineLevel="0" collapsed="false">
      <c r="A41" s="9" t="s">
        <v>32</v>
      </c>
      <c r="B41" s="10" t="n">
        <f aca="false">COUNTIFS(Data!$J$2:$J$334,"B-",Data!$B$2:$B$334,"HN1",Data!$G$2:$G$334,"MOB3+")</f>
        <v>2</v>
      </c>
      <c r="C41" s="10" t="n">
        <f aca="false">SUMPRODUCT(COUNTIFS(Data!$J$2:$J$334,{"A+","A","B+","B","B-","C"},Data!$B$2:$B$334,"HN1",Data!$G$2:$G$334,"MOB3+"))</f>
        <v>13</v>
      </c>
      <c r="D41" s="11" t="n">
        <f aca="false">IF(C41=0,"",B41/C41)</f>
        <v>0.153846153846154</v>
      </c>
      <c r="E41" s="10" t="n">
        <f aca="false">COUNTIFS(Data!$K$2:$K$334,"B-",Data!$B$2:$B$334,"HN1",Data!$H$2:$H$334,"MOB3+")</f>
        <v>1</v>
      </c>
      <c r="F41" s="10" t="n">
        <f aca="false">SUMPRODUCT(COUNTIFS(Data!$K$2:$K$334,{"A+","A","B+","B","B-","C"},Data!$B$2:$B$334,"HN1",Data!$H$2:$H$334,"MOB3+"))</f>
        <v>13</v>
      </c>
      <c r="G41" s="11" t="n">
        <f aca="false">IF(F41=0,"",E41/F41)</f>
        <v>0.0769230769230769</v>
      </c>
      <c r="H41" s="10" t="n">
        <f aca="false">COUNTIFS(Data!$L$2:$L$334,"B-",Data!$B$2:$B$334,"HN1",Data!$I$2:$I$334,"MOB3+")</f>
        <v>2</v>
      </c>
      <c r="I41" s="10" t="n">
        <f aca="false">SUMPRODUCT(COUNTIFS(Data!$L$2:$L$334,{"A+","A","B+","B","B-","C"},Data!$B$2:$B$334,"HN1",Data!$I$2:$I$334,"MOB3+"))</f>
        <v>13</v>
      </c>
      <c r="J41" s="11" t="n">
        <f aca="false">IF(I41=0,"",H41/I41)</f>
        <v>0.153846153846154</v>
      </c>
      <c r="K41" s="12" t="n">
        <f aca="false">IF(OR(D41="",J41=""),"",(J41-D41)*100)</f>
        <v>0</v>
      </c>
    </row>
    <row r="42" customFormat="false" ht="15" hidden="false" customHeight="false" outlineLevel="0" collapsed="false">
      <c r="A42" s="9" t="s">
        <v>33</v>
      </c>
      <c r="B42" s="10" t="n">
        <f aca="false">COUNTIFS(Data!$J$2:$J$334,"B-",Data!$B$2:$B$334,"HN2",Data!$G$2:$G$334,"MOB3+")</f>
        <v>2</v>
      </c>
      <c r="C42" s="10" t="n">
        <f aca="false">SUMPRODUCT(COUNTIFS(Data!$J$2:$J$334,{"A+","A","B+","B","B-","C"},Data!$B$2:$B$334,"HN2",Data!$G$2:$G$334,"MOB3+"))</f>
        <v>10</v>
      </c>
      <c r="D42" s="11" t="n">
        <f aca="false">IF(C42=0,"",B42/C42)</f>
        <v>0.2</v>
      </c>
      <c r="E42" s="10" t="n">
        <f aca="false">COUNTIFS(Data!$K$2:$K$334,"B-",Data!$B$2:$B$334,"HN2",Data!$H$2:$H$334,"MOB3+")</f>
        <v>2</v>
      </c>
      <c r="F42" s="10" t="n">
        <f aca="false">SUMPRODUCT(COUNTIFS(Data!$K$2:$K$334,{"A+","A","B+","B","B-","C"},Data!$B$2:$B$334,"HN2",Data!$H$2:$H$334,"MOB3+"))</f>
        <v>10</v>
      </c>
      <c r="G42" s="11" t="n">
        <f aca="false">IF(F42=0,"",E42/F42)</f>
        <v>0.2</v>
      </c>
      <c r="H42" s="10" t="n">
        <f aca="false">COUNTIFS(Data!$L$2:$L$334,"B-",Data!$B$2:$B$334,"HN2",Data!$I$2:$I$334,"MOB3+")</f>
        <v>0</v>
      </c>
      <c r="I42" s="10" t="n">
        <f aca="false">SUMPRODUCT(COUNTIFS(Data!$L$2:$L$334,{"A+","A","B+","B","B-","C"},Data!$B$2:$B$334,"HN2",Data!$I$2:$I$334,"MOB3+"))</f>
        <v>10</v>
      </c>
      <c r="J42" s="11" t="n">
        <f aca="false">IF(I42=0,"",H42/I42)</f>
        <v>0</v>
      </c>
      <c r="K42" s="12" t="n">
        <f aca="false">IF(OR(D42="",J42=""),"",(J42-D42)*100)</f>
        <v>-20</v>
      </c>
    </row>
    <row r="43" customFormat="false" ht="15" hidden="false" customHeight="false" outlineLevel="0" collapsed="false">
      <c r="A43" s="9" t="s">
        <v>34</v>
      </c>
      <c r="B43" s="10" t="n">
        <f aca="false">COUNTIFS(Data!$J$2:$J$334,"B-",Data!$B$2:$B$334,"HN3",Data!$G$2:$G$334,"MOB3+")</f>
        <v>0</v>
      </c>
      <c r="C43" s="10" t="n">
        <f aca="false">SUMPRODUCT(COUNTIFS(Data!$J$2:$J$334,{"A+","A","B+","B","B-","C"},Data!$B$2:$B$334,"HN3",Data!$G$2:$G$334,"MOB3+"))</f>
        <v>10</v>
      </c>
      <c r="D43" s="11" t="n">
        <f aca="false">IF(C43=0,"",B43/C43)</f>
        <v>0</v>
      </c>
      <c r="E43" s="10" t="n">
        <f aca="false">COUNTIFS(Data!$K$2:$K$334,"B-",Data!$B$2:$B$334,"HN3",Data!$H$2:$H$334,"MOB3+")</f>
        <v>2</v>
      </c>
      <c r="F43" s="10" t="n">
        <f aca="false">SUMPRODUCT(COUNTIFS(Data!$K$2:$K$334,{"A+","A","B+","B","B-","C"},Data!$B$2:$B$334,"HN3",Data!$H$2:$H$334,"MOB3+"))</f>
        <v>11</v>
      </c>
      <c r="G43" s="11" t="n">
        <f aca="false">IF(F43=0,"",E43/F43)</f>
        <v>0.181818181818182</v>
      </c>
      <c r="H43" s="10" t="n">
        <f aca="false">COUNTIFS(Data!$L$2:$L$334,"B-",Data!$B$2:$B$334,"HN3",Data!$I$2:$I$334,"MOB3+")</f>
        <v>1</v>
      </c>
      <c r="I43" s="10" t="n">
        <f aca="false">SUMPRODUCT(COUNTIFS(Data!$L$2:$L$334,{"A+","A","B+","B","B-","C"},Data!$B$2:$B$334,"HN3",Data!$I$2:$I$334,"MOB3+"))</f>
        <v>12</v>
      </c>
      <c r="J43" s="11" t="n">
        <f aca="false">IF(I43=0,"",H43/I43)</f>
        <v>0.0833333333333333</v>
      </c>
      <c r="K43" s="12" t="n">
        <f aca="false">IF(OR(D43="",J43=""),"",(J43-D43)*100)</f>
        <v>8.33333333333333</v>
      </c>
    </row>
    <row r="44" customFormat="false" ht="15" hidden="false" customHeight="false" outlineLevel="0" collapsed="false">
      <c r="A44" s="9" t="s">
        <v>35</v>
      </c>
      <c r="B44" s="10" t="n">
        <f aca="false">COUNTIFS(Data!$J$2:$J$334,"B-",Data!$B$2:$B$334,"HN4",Data!$G$2:$G$334,"MOB3+")</f>
        <v>0</v>
      </c>
      <c r="C44" s="10" t="n">
        <f aca="false">SUMPRODUCT(COUNTIFS(Data!$J$2:$J$334,{"A+","A","B+","B","B-","C"},Data!$B$2:$B$334,"HN4",Data!$G$2:$G$334,"MOB3+"))</f>
        <v>7</v>
      </c>
      <c r="D44" s="11" t="n">
        <f aca="false">IF(C44=0,"",B44/C44)</f>
        <v>0</v>
      </c>
      <c r="E44" s="10" t="n">
        <f aca="false">COUNTIFS(Data!$K$2:$K$334,"B-",Data!$B$2:$B$334,"HN4",Data!$H$2:$H$334,"MOB3+")</f>
        <v>0</v>
      </c>
      <c r="F44" s="10" t="n">
        <f aca="false">SUMPRODUCT(COUNTIFS(Data!$K$2:$K$334,{"A+","A","B+","B","B-","C"},Data!$B$2:$B$334,"HN4",Data!$H$2:$H$334,"MOB3+"))</f>
        <v>8</v>
      </c>
      <c r="G44" s="11" t="n">
        <f aca="false">IF(F44=0,"",E44/F44)</f>
        <v>0</v>
      </c>
      <c r="H44" s="10" t="n">
        <f aca="false">COUNTIFS(Data!$L$2:$L$334,"B-",Data!$B$2:$B$334,"HN4",Data!$I$2:$I$334,"MOB3+")</f>
        <v>1</v>
      </c>
      <c r="I44" s="10" t="n">
        <f aca="false">SUMPRODUCT(COUNTIFS(Data!$L$2:$L$334,{"A+","A","B+","B","B-","C"},Data!$B$2:$B$334,"HN4",Data!$I$2:$I$334,"MOB3+"))</f>
        <v>9</v>
      </c>
      <c r="J44" s="11" t="n">
        <f aca="false">IF(I44=0,"",H44/I44)</f>
        <v>0.111111111111111</v>
      </c>
      <c r="K44" s="12" t="n">
        <f aca="false">IF(OR(D44="",J44=""),"",(J44-D44)*100)</f>
        <v>11.1111111111111</v>
      </c>
    </row>
    <row r="45" customFormat="false" ht="15" hidden="false" customHeight="false" outlineLevel="0" collapsed="false">
      <c r="A45" s="9" t="s">
        <v>36</v>
      </c>
      <c r="B45" s="10" t="n">
        <f aca="false">COUNTIFS(Data!$J$2:$J$334,"B-",Data!$B$2:$B$334,"HN5",Data!$G$2:$G$334,"MOB3+")</f>
        <v>1</v>
      </c>
      <c r="C45" s="10" t="n">
        <f aca="false">SUMPRODUCT(COUNTIFS(Data!$J$2:$J$334,{"A+","A","B+","B","B-","C"},Data!$B$2:$B$334,"HN5",Data!$G$2:$G$334,"MOB3+"))</f>
        <v>11</v>
      </c>
      <c r="D45" s="11" t="n">
        <f aca="false">IF(C45=0,"",B45/C45)</f>
        <v>0.0909090909090909</v>
      </c>
      <c r="E45" s="10" t="n">
        <f aca="false">COUNTIFS(Data!$K$2:$K$334,"B-",Data!$B$2:$B$334,"HN5",Data!$H$2:$H$334,"MOB3+")</f>
        <v>1</v>
      </c>
      <c r="F45" s="10" t="n">
        <f aca="false">SUMPRODUCT(COUNTIFS(Data!$K$2:$K$334,{"A+","A","B+","B","B-","C"},Data!$B$2:$B$334,"HN5",Data!$H$2:$H$334,"MOB3+"))</f>
        <v>11</v>
      </c>
      <c r="G45" s="11" t="n">
        <f aca="false">IF(F45=0,"",E45/F45)</f>
        <v>0.0909090909090909</v>
      </c>
      <c r="H45" s="10" t="n">
        <f aca="false">COUNTIFS(Data!$L$2:$L$334,"B-",Data!$B$2:$B$334,"HN5",Data!$I$2:$I$334,"MOB3+")</f>
        <v>2</v>
      </c>
      <c r="I45" s="10" t="n">
        <f aca="false">SUMPRODUCT(COUNTIFS(Data!$L$2:$L$334,{"A+","A","B+","B","B-","C"},Data!$B$2:$B$334,"HN5",Data!$I$2:$I$334,"MOB3+"))</f>
        <v>12</v>
      </c>
      <c r="J45" s="11" t="n">
        <f aca="false">IF(I45=0,"",H45/I45)</f>
        <v>0.166666666666667</v>
      </c>
      <c r="K45" s="12" t="n">
        <f aca="false">IF(OR(D45="",J45=""),"",(J45-D45)*100)</f>
        <v>7.57575757575757</v>
      </c>
    </row>
    <row r="46" customFormat="false" ht="15" hidden="false" customHeight="false" outlineLevel="0" collapsed="false">
      <c r="A46" s="9" t="s">
        <v>37</v>
      </c>
      <c r="B46" s="10" t="n">
        <f aca="false">COUNTIFS(Data!$J$2:$J$334,"B-",Data!$B$2:$B$334,"HN6",Data!$G$2:$G$334,"MOB3+")</f>
        <v>1</v>
      </c>
      <c r="C46" s="10" t="n">
        <f aca="false">SUMPRODUCT(COUNTIFS(Data!$J$2:$J$334,{"A+","A","B+","B","B-","C"},Data!$B$2:$B$334,"HN6",Data!$G$2:$G$334,"MOB3+"))</f>
        <v>11</v>
      </c>
      <c r="D46" s="11" t="n">
        <f aca="false">IF(C46=0,"",B46/C46)</f>
        <v>0.0909090909090909</v>
      </c>
      <c r="E46" s="10" t="n">
        <f aca="false">COUNTIFS(Data!$K$2:$K$334,"B-",Data!$B$2:$B$334,"HN6",Data!$H$2:$H$334,"MOB3+")</f>
        <v>1</v>
      </c>
      <c r="F46" s="10" t="n">
        <f aca="false">SUMPRODUCT(COUNTIFS(Data!$K$2:$K$334,{"A+","A","B+","B","B-","C"},Data!$B$2:$B$334,"HN6",Data!$H$2:$H$334,"MOB3+"))</f>
        <v>12</v>
      </c>
      <c r="G46" s="11" t="n">
        <f aca="false">IF(F46=0,"",E46/F46)</f>
        <v>0.0833333333333333</v>
      </c>
      <c r="H46" s="10" t="n">
        <f aca="false">COUNTIFS(Data!$L$2:$L$334,"B-",Data!$B$2:$B$334,"HN6",Data!$I$2:$I$334,"MOB3+")</f>
        <v>2</v>
      </c>
      <c r="I46" s="10" t="n">
        <f aca="false">SUMPRODUCT(COUNTIFS(Data!$L$2:$L$334,{"A+","A","B+","B","B-","C"},Data!$B$2:$B$334,"HN6",Data!$I$2:$I$334,"MOB3+"))</f>
        <v>11</v>
      </c>
      <c r="J46" s="11" t="n">
        <f aca="false">IF(I46=0,"",H46/I46)</f>
        <v>0.181818181818182</v>
      </c>
      <c r="K46" s="12" t="n">
        <f aca="false">IF(OR(D46="",J46=""),"",(J46-D46)*100)</f>
        <v>9.09090909090909</v>
      </c>
    </row>
    <row r="47" customFormat="false" ht="15" hidden="false" customHeight="false" outlineLevel="0" collapsed="false">
      <c r="A47" s="9" t="s">
        <v>38</v>
      </c>
      <c r="B47" s="10" t="n">
        <f aca="false">COUNTIFS(Data!$J$2:$J$334,"B-",Data!$B$2:$B$334,"North-F1",Data!$G$2:$G$334,"MOB3+")</f>
        <v>2</v>
      </c>
      <c r="C47" s="10" t="n">
        <f aca="false">SUMPRODUCT(COUNTIFS(Data!$J$2:$J$334,{"A+","A","B+","B","B-","C"},Data!$B$2:$B$334,"North-F1",Data!$G$2:$G$334,"MOB3+"))</f>
        <v>6</v>
      </c>
      <c r="D47" s="11" t="n">
        <f aca="false">IF(C47=0,"",B47/C47)</f>
        <v>0.333333333333333</v>
      </c>
      <c r="E47" s="10" t="n">
        <f aca="false">COUNTIFS(Data!$K$2:$K$334,"B-",Data!$B$2:$B$334,"North-F1",Data!$H$2:$H$334,"MOB3+")</f>
        <v>0</v>
      </c>
      <c r="F47" s="10" t="n">
        <f aca="false">SUMPRODUCT(COUNTIFS(Data!$K$2:$K$334,{"A+","A","B+","B","B-","C"},Data!$B$2:$B$334,"North-F1",Data!$H$2:$H$334,"MOB3+"))</f>
        <v>6</v>
      </c>
      <c r="G47" s="11" t="n">
        <f aca="false">IF(F47=0,"",E47/F47)</f>
        <v>0</v>
      </c>
      <c r="H47" s="10" t="n">
        <f aca="false">COUNTIFS(Data!$L$2:$L$334,"B-",Data!$B$2:$B$334,"North-F1",Data!$I$2:$I$334,"MOB3+")</f>
        <v>0</v>
      </c>
      <c r="I47" s="10" t="n">
        <f aca="false">SUMPRODUCT(COUNTIFS(Data!$L$2:$L$334,{"A+","A","B+","B","B-","C"},Data!$B$2:$B$334,"North-F1",Data!$I$2:$I$334,"MOB3+"))</f>
        <v>6</v>
      </c>
      <c r="J47" s="11" t="n">
        <f aca="false">IF(I47=0,"",H47/I47)</f>
        <v>0</v>
      </c>
      <c r="K47" s="12" t="n">
        <f aca="false">IF(OR(D47="",J47=""),"",(J47-D47)*100)</f>
        <v>-33.3333333333333</v>
      </c>
    </row>
    <row r="48" customFormat="false" ht="15" hidden="false" customHeight="false" outlineLevel="0" collapsed="false">
      <c r="A48" s="9" t="s">
        <v>39</v>
      </c>
      <c r="B48" s="10" t="n">
        <f aca="false">COUNTIFS(Data!$J$2:$J$334,"B-",Data!$B$2:$B$334,"BCI HCM",Data!$G$2:$G$334,"MOB3+")</f>
        <v>0</v>
      </c>
      <c r="C48" s="10" t="n">
        <f aca="false">SUMPRODUCT(COUNTIFS(Data!$J$2:$J$334,{"A+","A","B+","B","B-","C"},Data!$B$2:$B$334,"BCI HCM",Data!$G$2:$G$334,"MOB3+"))</f>
        <v>3</v>
      </c>
      <c r="D48" s="11" t="n">
        <f aca="false">IF(C48=0,"",B48/C48)</f>
        <v>0</v>
      </c>
      <c r="E48" s="10" t="n">
        <f aca="false">COUNTIFS(Data!$K$2:$K$334,"B-",Data!$B$2:$B$334,"BCI HCM",Data!$H$2:$H$334,"MOB3+")</f>
        <v>0</v>
      </c>
      <c r="F48" s="10" t="n">
        <f aca="false">SUMPRODUCT(COUNTIFS(Data!$K$2:$K$334,{"A+","A","B+","B","B-","C"},Data!$B$2:$B$334,"BCI HCM",Data!$H$2:$H$334,"MOB3+"))</f>
        <v>1</v>
      </c>
      <c r="G48" s="11" t="n">
        <f aca="false">IF(F48=0,"",E48/F48)</f>
        <v>0</v>
      </c>
      <c r="H48" s="10" t="n">
        <f aca="false">COUNTIFS(Data!$L$2:$L$334,"B-",Data!$B$2:$B$334,"BCI HCM",Data!$I$2:$I$334,"MOB3+")</f>
        <v>1</v>
      </c>
      <c r="I48" s="10" t="n">
        <f aca="false">SUMPRODUCT(COUNTIFS(Data!$L$2:$L$334,{"A+","A","B+","B","B-","C"},Data!$B$2:$B$334,"BCI HCM",Data!$I$2:$I$334,"MOB3+"))</f>
        <v>2</v>
      </c>
      <c r="J48" s="11" t="n">
        <f aca="false">IF(I48=0,"",H48/I48)</f>
        <v>0.5</v>
      </c>
      <c r="K48" s="12" t="n">
        <f aca="false">IF(OR(D48="",J48=""),"",(J48-D48)*100)</f>
        <v>50</v>
      </c>
    </row>
    <row r="49" customFormat="false" ht="15" hidden="false" customHeight="false" outlineLevel="0" collapsed="false">
      <c r="A49" s="9" t="s">
        <v>40</v>
      </c>
      <c r="B49" s="10" t="n">
        <f aca="false">COUNTIFS(Data!$J$2:$J$334,"B-",Data!$B$2:$B$334,"HCM-F1",Data!$G$2:$G$334,"MOB3+")</f>
        <v>1</v>
      </c>
      <c r="C49" s="10" t="n">
        <f aca="false">SUMPRODUCT(COUNTIFS(Data!$J$2:$J$334,{"A+","A","B+","B","B-","C"},Data!$B$2:$B$334,"HCM-F1",Data!$G$2:$G$334,"MOB3+"))</f>
        <v>5</v>
      </c>
      <c r="D49" s="11" t="n">
        <f aca="false">IF(C49=0,"",B49/C49)</f>
        <v>0.2</v>
      </c>
      <c r="E49" s="10" t="n">
        <f aca="false">COUNTIFS(Data!$K$2:$K$334,"B-",Data!$B$2:$B$334,"HCM-F1",Data!$H$2:$H$334,"MOB3+")</f>
        <v>2</v>
      </c>
      <c r="F49" s="10" t="n">
        <f aca="false">SUMPRODUCT(COUNTIFS(Data!$K$2:$K$334,{"A+","A","B+","B","B-","C"},Data!$B$2:$B$334,"HCM-F1",Data!$H$2:$H$334,"MOB3+"))</f>
        <v>10</v>
      </c>
      <c r="G49" s="11" t="n">
        <f aca="false">IF(F49=0,"",E49/F49)</f>
        <v>0.2</v>
      </c>
      <c r="H49" s="10" t="n">
        <f aca="false">COUNTIFS(Data!$L$2:$L$334,"B-",Data!$B$2:$B$334,"HCM-F1",Data!$I$2:$I$334,"MOB3+")</f>
        <v>1</v>
      </c>
      <c r="I49" s="10" t="n">
        <f aca="false">SUMPRODUCT(COUNTIFS(Data!$L$2:$L$334,{"A+","A","B+","B","B-","C"},Data!$B$2:$B$334,"HCM-F1",Data!$I$2:$I$334,"MOB3+"))</f>
        <v>11</v>
      </c>
      <c r="J49" s="11" t="n">
        <f aca="false">IF(I49=0,"",H49/I49)</f>
        <v>0.0909090909090909</v>
      </c>
      <c r="K49" s="12" t="n">
        <f aca="false">IF(OR(D49="",J49=""),"",(J49-D49)*100)</f>
        <v>-10.9090909090909</v>
      </c>
    </row>
    <row r="50" customFormat="false" ht="15" hidden="false" customHeight="false" outlineLevel="0" collapsed="false">
      <c r="A50" s="9" t="s">
        <v>41</v>
      </c>
      <c r="B50" s="10" t="n">
        <f aca="false">COUNTIFS(Data!$J$2:$J$334,"B-",Data!$B$2:$B$334,"HCM1",Data!$G$2:$G$334,"MOB3+")</f>
        <v>1</v>
      </c>
      <c r="C50" s="10" t="n">
        <f aca="false">SUMPRODUCT(COUNTIFS(Data!$J$2:$J$334,{"A+","A","B+","B","B-","C"},Data!$B$2:$B$334,"HCM1",Data!$G$2:$G$334,"MOB3+"))</f>
        <v>14</v>
      </c>
      <c r="D50" s="11" t="n">
        <f aca="false">IF(C50=0,"",B50/C50)</f>
        <v>0.0714285714285714</v>
      </c>
      <c r="E50" s="10" t="n">
        <f aca="false">COUNTIFS(Data!$K$2:$K$334,"B-",Data!$B$2:$B$334,"HCM1",Data!$H$2:$H$334,"MOB3+")</f>
        <v>2</v>
      </c>
      <c r="F50" s="10" t="n">
        <f aca="false">SUMPRODUCT(COUNTIFS(Data!$K$2:$K$334,{"A+","A","B+","B","B-","C"},Data!$B$2:$B$334,"HCM1",Data!$H$2:$H$334,"MOB3+"))</f>
        <v>10</v>
      </c>
      <c r="G50" s="11" t="n">
        <f aca="false">IF(F50=0,"",E50/F50)</f>
        <v>0.2</v>
      </c>
      <c r="H50" s="10" t="n">
        <f aca="false">COUNTIFS(Data!$L$2:$L$334,"B-",Data!$B$2:$B$334,"HCM1",Data!$I$2:$I$334,"MOB3+")</f>
        <v>1</v>
      </c>
      <c r="I50" s="10" t="n">
        <f aca="false">SUMPRODUCT(COUNTIFS(Data!$L$2:$L$334,{"A+","A","B+","B","B-","C"},Data!$B$2:$B$334,"HCM1",Data!$I$2:$I$334,"MOB3+"))</f>
        <v>10</v>
      </c>
      <c r="J50" s="11" t="n">
        <f aca="false">IF(I50=0,"",H50/I50)</f>
        <v>0.1</v>
      </c>
      <c r="K50" s="12" t="n">
        <f aca="false">IF(OR(D50="",J50=""),"",(J50-D50)*100)</f>
        <v>2.85714285714286</v>
      </c>
    </row>
    <row r="51" customFormat="false" ht="15" hidden="false" customHeight="false" outlineLevel="0" collapsed="false">
      <c r="A51" s="9" t="s">
        <v>42</v>
      </c>
      <c r="B51" s="10" t="n">
        <f aca="false">COUNTIFS(Data!$J$2:$J$334,"B-",Data!$B$2:$B$334,"HCM2",Data!$G$2:$G$334,"MOB3+")</f>
        <v>1</v>
      </c>
      <c r="C51" s="10" t="n">
        <f aca="false">SUMPRODUCT(COUNTIFS(Data!$J$2:$J$334,{"A+","A","B+","B","B-","C"},Data!$B$2:$B$334,"HCM2",Data!$G$2:$G$334,"MOB3+"))</f>
        <v>11</v>
      </c>
      <c r="D51" s="11" t="n">
        <f aca="false">IF(C51=0,"",B51/C51)</f>
        <v>0.0909090909090909</v>
      </c>
      <c r="E51" s="10" t="n">
        <f aca="false">COUNTIFS(Data!$K$2:$K$334,"B-",Data!$B$2:$B$334,"HCM2",Data!$H$2:$H$334,"MOB3+")</f>
        <v>2</v>
      </c>
      <c r="F51" s="10" t="n">
        <f aca="false">SUMPRODUCT(COUNTIFS(Data!$K$2:$K$334,{"A+","A","B+","B","B-","C"},Data!$B$2:$B$334,"HCM2",Data!$H$2:$H$334,"MOB3+"))</f>
        <v>10</v>
      </c>
      <c r="G51" s="11" t="n">
        <f aca="false">IF(F51=0,"",E51/F51)</f>
        <v>0.2</v>
      </c>
      <c r="H51" s="10" t="n">
        <f aca="false">COUNTIFS(Data!$L$2:$L$334,"B-",Data!$B$2:$B$334,"HCM2",Data!$I$2:$I$334,"MOB3+")</f>
        <v>2</v>
      </c>
      <c r="I51" s="10" t="n">
        <f aca="false">SUMPRODUCT(COUNTIFS(Data!$L$2:$L$334,{"A+","A","B+","B","B-","C"},Data!$B$2:$B$334,"HCM2",Data!$I$2:$I$334,"MOB3+"))</f>
        <v>12</v>
      </c>
      <c r="J51" s="11" t="n">
        <f aca="false">IF(I51=0,"",H51/I51)</f>
        <v>0.166666666666667</v>
      </c>
      <c r="K51" s="12" t="n">
        <f aca="false">IF(OR(D51="",J51=""),"",(J51-D51)*100)</f>
        <v>7.57575757575757</v>
      </c>
    </row>
    <row r="52" customFormat="false" ht="15" hidden="false" customHeight="false" outlineLevel="0" collapsed="false">
      <c r="A52" s="9" t="s">
        <v>43</v>
      </c>
      <c r="B52" s="10" t="n">
        <f aca="false">COUNTIFS(Data!$J$2:$J$334,"B-",Data!$B$2:$B$334,"HCM3",Data!$G$2:$G$334,"MOB3+")</f>
        <v>0</v>
      </c>
      <c r="C52" s="10" t="n">
        <f aca="false">SUMPRODUCT(COUNTIFS(Data!$J$2:$J$334,{"A+","A","B+","B","B-","C"},Data!$B$2:$B$334,"HCM3",Data!$G$2:$G$334,"MOB3+"))</f>
        <v>11</v>
      </c>
      <c r="D52" s="11" t="n">
        <f aca="false">IF(C52=0,"",B52/C52)</f>
        <v>0</v>
      </c>
      <c r="E52" s="10" t="n">
        <f aca="false">COUNTIFS(Data!$K$2:$K$334,"B-",Data!$B$2:$B$334,"HCM3",Data!$H$2:$H$334,"MOB3+")</f>
        <v>1</v>
      </c>
      <c r="F52" s="10" t="n">
        <f aca="false">SUMPRODUCT(COUNTIFS(Data!$K$2:$K$334,{"A+","A","B+","B","B-","C"},Data!$B$2:$B$334,"HCM3",Data!$H$2:$H$334,"MOB3+"))</f>
        <v>11</v>
      </c>
      <c r="G52" s="11" t="n">
        <f aca="false">IF(F52=0,"",E52/F52)</f>
        <v>0.0909090909090909</v>
      </c>
      <c r="H52" s="10" t="n">
        <f aca="false">COUNTIFS(Data!$L$2:$L$334,"B-",Data!$B$2:$B$334,"HCM3",Data!$I$2:$I$334,"MOB3+")</f>
        <v>2</v>
      </c>
      <c r="I52" s="10" t="n">
        <f aca="false">SUMPRODUCT(COUNTIFS(Data!$L$2:$L$334,{"A+","A","B+","B","B-","C"},Data!$B$2:$B$334,"HCM3",Data!$I$2:$I$334,"MOB3+"))</f>
        <v>12</v>
      </c>
      <c r="J52" s="11" t="n">
        <f aca="false">IF(I52=0,"",H52/I52)</f>
        <v>0.166666666666667</v>
      </c>
      <c r="K52" s="12" t="n">
        <f aca="false">IF(OR(D52="",J52=""),"",(J52-D52)*100)</f>
        <v>16.6666666666667</v>
      </c>
    </row>
    <row r="53" customFormat="false" ht="15" hidden="false" customHeight="false" outlineLevel="0" collapsed="false">
      <c r="A53" s="9" t="s">
        <v>44</v>
      </c>
      <c r="B53" s="10" t="n">
        <f aca="false">COUNTIFS(Data!$J$2:$J$334,"B-",Data!$B$2:$B$334,"HCM4",Data!$G$2:$G$334,"MOB3+")</f>
        <v>0</v>
      </c>
      <c r="C53" s="10" t="n">
        <f aca="false">SUMPRODUCT(COUNTIFS(Data!$J$2:$J$334,{"A+","A","B+","B","B-","C"},Data!$B$2:$B$334,"HCM4",Data!$G$2:$G$334,"MOB3+"))</f>
        <v>7</v>
      </c>
      <c r="D53" s="11" t="n">
        <f aca="false">IF(C53=0,"",B53/C53)</f>
        <v>0</v>
      </c>
      <c r="E53" s="10" t="n">
        <f aca="false">COUNTIFS(Data!$K$2:$K$334,"B-",Data!$B$2:$B$334,"HCM4",Data!$H$2:$H$334,"MOB3+")</f>
        <v>2</v>
      </c>
      <c r="F53" s="10" t="n">
        <f aca="false">SUMPRODUCT(COUNTIFS(Data!$K$2:$K$334,{"A+","A","B+","B","B-","C"},Data!$B$2:$B$334,"HCM4",Data!$H$2:$H$334,"MOB3+"))</f>
        <v>11</v>
      </c>
      <c r="G53" s="11" t="n">
        <f aca="false">IF(F53=0,"",E53/F53)</f>
        <v>0.181818181818182</v>
      </c>
      <c r="H53" s="10" t="n">
        <f aca="false">COUNTIFS(Data!$L$2:$L$334,"B-",Data!$B$2:$B$334,"HCM4",Data!$I$2:$I$334,"MOB3+")</f>
        <v>1</v>
      </c>
      <c r="I53" s="10" t="n">
        <f aca="false">SUMPRODUCT(COUNTIFS(Data!$L$2:$L$334,{"A+","A","B+","B","B-","C"},Data!$B$2:$B$334,"HCM4",Data!$I$2:$I$334,"MOB3+"))</f>
        <v>10</v>
      </c>
      <c r="J53" s="11" t="n">
        <f aca="false">IF(I53=0,"",H53/I53)</f>
        <v>0.1</v>
      </c>
      <c r="K53" s="12" t="n">
        <f aca="false">IF(OR(D53="",J53=""),"",(J53-D53)*100)</f>
        <v>10</v>
      </c>
    </row>
    <row r="54" customFormat="false" ht="15" hidden="false" customHeight="false" outlineLevel="0" collapsed="false">
      <c r="A54" s="9" t="s">
        <v>45</v>
      </c>
      <c r="B54" s="10" t="n">
        <f aca="false">COUNTIFS(Data!$J$2:$J$334,"B-",Data!$B$2:$B$334,"HCM5",Data!$G$2:$G$334,"MOB3+")</f>
        <v>0</v>
      </c>
      <c r="C54" s="10" t="n">
        <f aca="false">SUMPRODUCT(COUNTIFS(Data!$J$2:$J$334,{"A+","A","B+","B","B-","C"},Data!$B$2:$B$334,"HCM5",Data!$G$2:$G$334,"MOB3+"))</f>
        <v>9</v>
      </c>
      <c r="D54" s="11" t="n">
        <f aca="false">IF(C54=0,"",B54/C54)</f>
        <v>0</v>
      </c>
      <c r="E54" s="10" t="n">
        <f aca="false">COUNTIFS(Data!$K$2:$K$334,"B-",Data!$B$2:$B$334,"HCM5",Data!$H$2:$H$334,"MOB3+")</f>
        <v>0</v>
      </c>
      <c r="F54" s="10" t="n">
        <f aca="false">SUMPRODUCT(COUNTIFS(Data!$K$2:$K$334,{"A+","A","B+","B","B-","C"},Data!$B$2:$B$334,"HCM5",Data!$H$2:$H$334,"MOB3+"))</f>
        <v>6</v>
      </c>
      <c r="G54" s="11" t="n">
        <f aca="false">IF(F54=0,"",E54/F54)</f>
        <v>0</v>
      </c>
      <c r="H54" s="10" t="n">
        <f aca="false">COUNTIFS(Data!$L$2:$L$334,"B-",Data!$B$2:$B$334,"HCM5",Data!$I$2:$I$334,"MOB3+")</f>
        <v>3</v>
      </c>
      <c r="I54" s="10" t="n">
        <f aca="false">SUMPRODUCT(COUNTIFS(Data!$L$2:$L$334,{"A+","A","B+","B","B-","C"},Data!$B$2:$B$334,"HCM5",Data!$I$2:$I$334,"MOB3+"))</f>
        <v>7</v>
      </c>
      <c r="J54" s="11" t="n">
        <f aca="false">IF(I54=0,"",H54/I54)</f>
        <v>0.428571428571429</v>
      </c>
      <c r="K54" s="12" t="n">
        <f aca="false">IF(OR(D54="",J54=""),"",(J54-D54)*100)</f>
        <v>42.8571428571429</v>
      </c>
    </row>
    <row r="56" customFormat="false" ht="15" hidden="false" customHeight="false" outlineLevel="0" collapsed="false">
      <c r="A56" s="13" t="s">
        <v>46</v>
      </c>
    </row>
  </sheetData>
  <mergeCells count="15">
    <mergeCell ref="B5:D5"/>
    <mergeCell ref="E5:G5"/>
    <mergeCell ref="H5:J5"/>
    <mergeCell ref="B10:D10"/>
    <mergeCell ref="E10:G10"/>
    <mergeCell ref="H10:J10"/>
    <mergeCell ref="B16:D16"/>
    <mergeCell ref="E16:G16"/>
    <mergeCell ref="H16:J16"/>
    <mergeCell ref="B23:D23"/>
    <mergeCell ref="E23:G23"/>
    <mergeCell ref="H23:J23"/>
    <mergeCell ref="B32:D32"/>
    <mergeCell ref="E32:G32"/>
    <mergeCell ref="H32:J32"/>
  </mergeCells>
  <conditionalFormatting sqref="D7">
    <cfRule type="colorScale" priority="2">
      <colorScale>
        <cfvo type="num" val="0"/>
        <cfvo type="num" val="0.3"/>
        <color rgb="FFFFFFFF"/>
        <color rgb="FFF8696B"/>
      </colorScale>
    </cfRule>
  </conditionalFormatting>
  <conditionalFormatting sqref="G7">
    <cfRule type="colorScale" priority="3">
      <colorScale>
        <cfvo type="num" val="0"/>
        <cfvo type="num" val="0.3"/>
        <color rgb="FFFFFFFF"/>
        <color rgb="FFF8696B"/>
      </colorScale>
    </cfRule>
  </conditionalFormatting>
  <conditionalFormatting sqref="J7">
    <cfRule type="colorScale" priority="4">
      <colorScale>
        <cfvo type="num" val="0"/>
        <cfvo type="num" val="0.3"/>
        <color rgb="FFFFFFFF"/>
        <color rgb="FFF8696B"/>
      </colorScale>
    </cfRule>
  </conditionalFormatting>
  <conditionalFormatting sqref="D12:D13">
    <cfRule type="colorScale" priority="5">
      <colorScale>
        <cfvo type="num" val="0"/>
        <cfvo type="num" val="0.3"/>
        <color rgb="FFFFFFFF"/>
        <color rgb="FFF8696B"/>
      </colorScale>
    </cfRule>
  </conditionalFormatting>
  <conditionalFormatting sqref="G12:G13">
    <cfRule type="colorScale" priority="6">
      <colorScale>
        <cfvo type="num" val="0"/>
        <cfvo type="num" val="0.3"/>
        <color rgb="FFFFFFFF"/>
        <color rgb="FFF8696B"/>
      </colorScale>
    </cfRule>
  </conditionalFormatting>
  <conditionalFormatting sqref="J12:J13">
    <cfRule type="colorScale" priority="7">
      <colorScale>
        <cfvo type="num" val="0"/>
        <cfvo type="num" val="0.3"/>
        <color rgb="FFFFFFFF"/>
        <color rgb="FFF8696B"/>
      </colorScale>
    </cfRule>
  </conditionalFormatting>
  <conditionalFormatting sqref="D18:D20">
    <cfRule type="colorScale" priority="8">
      <colorScale>
        <cfvo type="num" val="0"/>
        <cfvo type="num" val="0.3"/>
        <color rgb="FFFFFFFF"/>
        <color rgb="FFF8696B"/>
      </colorScale>
    </cfRule>
  </conditionalFormatting>
  <conditionalFormatting sqref="G18:G20">
    <cfRule type="colorScale" priority="9">
      <colorScale>
        <cfvo type="num" val="0"/>
        <cfvo type="num" val="0.3"/>
        <color rgb="FFFFFFFF"/>
        <color rgb="FFF8696B"/>
      </colorScale>
    </cfRule>
  </conditionalFormatting>
  <conditionalFormatting sqref="J18:J20">
    <cfRule type="colorScale" priority="10">
      <colorScale>
        <cfvo type="num" val="0"/>
        <cfvo type="num" val="0.3"/>
        <color rgb="FFFFFFFF"/>
        <color rgb="FFF8696B"/>
      </colorScale>
    </cfRule>
  </conditionalFormatting>
  <conditionalFormatting sqref="D25:D29">
    <cfRule type="colorScale" priority="11">
      <colorScale>
        <cfvo type="num" val="0"/>
        <cfvo type="num" val="0.3"/>
        <color rgb="FFFFFFFF"/>
        <color rgb="FFF8696B"/>
      </colorScale>
    </cfRule>
  </conditionalFormatting>
  <conditionalFormatting sqref="G25:G29">
    <cfRule type="colorScale" priority="12">
      <colorScale>
        <cfvo type="num" val="0"/>
        <cfvo type="num" val="0.3"/>
        <color rgb="FFFFFFFF"/>
        <color rgb="FFF8696B"/>
      </colorScale>
    </cfRule>
  </conditionalFormatting>
  <conditionalFormatting sqref="J25:J29">
    <cfRule type="colorScale" priority="13">
      <colorScale>
        <cfvo type="num" val="0"/>
        <cfvo type="num" val="0.3"/>
        <color rgb="FFFFFFFF"/>
        <color rgb="FFF8696B"/>
      </colorScale>
    </cfRule>
  </conditionalFormatting>
  <conditionalFormatting sqref="D34:D54">
    <cfRule type="colorScale" priority="14">
      <colorScale>
        <cfvo type="num" val="0"/>
        <cfvo type="num" val="0.3"/>
        <color rgb="FFFFFFFF"/>
        <color rgb="FFF8696B"/>
      </colorScale>
    </cfRule>
  </conditionalFormatting>
  <conditionalFormatting sqref="G34:G54">
    <cfRule type="colorScale" priority="15">
      <colorScale>
        <cfvo type="num" val="0"/>
        <cfvo type="num" val="0.3"/>
        <color rgb="FFFFFFFF"/>
        <color rgb="FFF8696B"/>
      </colorScale>
    </cfRule>
  </conditionalFormatting>
  <conditionalFormatting sqref="J34:J54">
    <cfRule type="colorScale" priority="16">
      <colorScale>
        <cfvo type="num" val="0"/>
        <cfvo type="num" val="0.3"/>
        <color rgb="FFFFFFFF"/>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1" min="2" style="0" width="9"/>
  </cols>
  <sheetData>
    <row r="1" customFormat="false" ht="17.35" hidden="false" customHeight="false" outlineLevel="0" collapsed="false">
      <c r="A1" s="1" t="s">
        <v>48</v>
      </c>
    </row>
    <row r="3" customFormat="false" ht="15" hidden="false" customHeight="false" outlineLevel="0" collapsed="false">
      <c r="A3" s="3" t="s">
        <v>49</v>
      </c>
    </row>
    <row r="4" customFormat="false" ht="15" hidden="false" customHeight="false" outlineLevel="0" collapsed="false">
      <c r="A4" s="4" t="s">
        <v>50</v>
      </c>
      <c r="B4" s="4" t="s">
        <v>51</v>
      </c>
      <c r="C4" s="4" t="s">
        <v>52</v>
      </c>
      <c r="D4" s="4" t="s">
        <v>53</v>
      </c>
      <c r="E4" s="4" t="s">
        <v>54</v>
      </c>
      <c r="F4" s="4" t="s">
        <v>55</v>
      </c>
      <c r="G4" s="4" t="s">
        <v>56</v>
      </c>
      <c r="H4" s="4" t="s">
        <v>57</v>
      </c>
      <c r="I4" s="4" t="s">
        <v>58</v>
      </c>
      <c r="J4" s="4" t="s">
        <v>59</v>
      </c>
    </row>
    <row r="5" customFormat="false" ht="15" hidden="false" customHeight="false" outlineLevel="0" collapsed="false">
      <c r="A5" s="14" t="s">
        <v>51</v>
      </c>
      <c r="B5" s="10" t="n">
        <f aca="false">COUNTIFS(Data!$J$2:$J$334,"A+",Data!$K$2:$K$334,"A+")</f>
        <v>4</v>
      </c>
      <c r="C5" s="10" t="n">
        <f aca="false">COUNTIFS(Data!$J$2:$J$334,"A+",Data!$K$2:$K$334,"A")</f>
        <v>6</v>
      </c>
      <c r="D5" s="10" t="n">
        <f aca="false">COUNTIFS(Data!$J$2:$J$334,"A+",Data!$K$2:$K$334,"B+")</f>
        <v>0</v>
      </c>
      <c r="E5" s="10" t="n">
        <f aca="false">COUNTIFS(Data!$J$2:$J$334,"A+",Data!$K$2:$K$334,"B")</f>
        <v>2</v>
      </c>
      <c r="F5" s="15" t="n">
        <f aca="false">COUNTIFS(Data!$J$2:$J$334,"A+",Data!$K$2:$K$334,"B-")</f>
        <v>0</v>
      </c>
      <c r="G5" s="10" t="n">
        <f aca="false">COUNTIFS(Data!$J$2:$J$334,"A+",Data!$K$2:$K$334,"C")</f>
        <v>0</v>
      </c>
      <c r="H5" s="10" t="n">
        <f aca="false">COUNTIFS(Data!$J$2:$J$334,"A+",Data!$K$2:$K$334,"-")</f>
        <v>0</v>
      </c>
      <c r="I5" s="10" t="n">
        <f aca="false">COUNTIFS(Data!$J$2:$J$334,"A+",Data!$K$2:$K$334,"")</f>
        <v>0</v>
      </c>
      <c r="J5" s="10" t="n">
        <f aca="false">SUM(B5:I5)</f>
        <v>12</v>
      </c>
    </row>
    <row r="6" customFormat="false" ht="15" hidden="false" customHeight="false" outlineLevel="0" collapsed="false">
      <c r="A6" s="14" t="s">
        <v>52</v>
      </c>
      <c r="B6" s="10" t="n">
        <f aca="false">COUNTIFS(Data!$J$2:$J$334,"A",Data!$K$2:$K$334,"A+")</f>
        <v>4</v>
      </c>
      <c r="C6" s="10" t="n">
        <f aca="false">COUNTIFS(Data!$J$2:$J$334,"A",Data!$K$2:$K$334,"A")</f>
        <v>12</v>
      </c>
      <c r="D6" s="10" t="n">
        <f aca="false">COUNTIFS(Data!$J$2:$J$334,"A",Data!$K$2:$K$334,"B+")</f>
        <v>9</v>
      </c>
      <c r="E6" s="10" t="n">
        <f aca="false">COUNTIFS(Data!$J$2:$J$334,"A",Data!$K$2:$K$334,"B")</f>
        <v>8</v>
      </c>
      <c r="F6" s="15" t="n">
        <f aca="false">COUNTIFS(Data!$J$2:$J$334,"A",Data!$K$2:$K$334,"B-")</f>
        <v>0</v>
      </c>
      <c r="G6" s="10" t="n">
        <f aca="false">COUNTIFS(Data!$J$2:$J$334,"A",Data!$K$2:$K$334,"C")</f>
        <v>1</v>
      </c>
      <c r="H6" s="10" t="n">
        <f aca="false">COUNTIFS(Data!$J$2:$J$334,"A",Data!$K$2:$K$334,"-")</f>
        <v>0</v>
      </c>
      <c r="I6" s="10" t="n">
        <f aca="false">COUNTIFS(Data!$J$2:$J$334,"A",Data!$K$2:$K$334,"")</f>
        <v>1</v>
      </c>
      <c r="J6" s="10" t="n">
        <f aca="false">SUM(B6:I6)</f>
        <v>35</v>
      </c>
    </row>
    <row r="7" customFormat="false" ht="15" hidden="false" customHeight="false" outlineLevel="0" collapsed="false">
      <c r="A7" s="14" t="s">
        <v>53</v>
      </c>
      <c r="B7" s="10" t="n">
        <f aca="false">COUNTIFS(Data!$J$2:$J$334,"B+",Data!$K$2:$K$334,"A+")</f>
        <v>4</v>
      </c>
      <c r="C7" s="10" t="n">
        <f aca="false">COUNTIFS(Data!$J$2:$J$334,"B+",Data!$K$2:$K$334,"A")</f>
        <v>12</v>
      </c>
      <c r="D7" s="10" t="n">
        <f aca="false">COUNTIFS(Data!$J$2:$J$334,"B+",Data!$K$2:$K$334,"B+")</f>
        <v>11</v>
      </c>
      <c r="E7" s="10" t="n">
        <f aca="false">COUNTIFS(Data!$J$2:$J$334,"B+",Data!$K$2:$K$334,"B")</f>
        <v>11</v>
      </c>
      <c r="F7" s="15" t="n">
        <f aca="false">COUNTIFS(Data!$J$2:$J$334,"B+",Data!$K$2:$K$334,"B-")</f>
        <v>5</v>
      </c>
      <c r="G7" s="10" t="n">
        <f aca="false">COUNTIFS(Data!$J$2:$J$334,"B+",Data!$K$2:$K$334,"C")</f>
        <v>5</v>
      </c>
      <c r="H7" s="10" t="n">
        <f aca="false">COUNTIFS(Data!$J$2:$J$334,"B+",Data!$K$2:$K$334,"-")</f>
        <v>0</v>
      </c>
      <c r="I7" s="10" t="n">
        <f aca="false">COUNTIFS(Data!$J$2:$J$334,"B+",Data!$K$2:$K$334,"")</f>
        <v>0</v>
      </c>
      <c r="J7" s="10" t="n">
        <f aca="false">SUM(B7:I7)</f>
        <v>48</v>
      </c>
    </row>
    <row r="8" customFormat="false" ht="15" hidden="false" customHeight="false" outlineLevel="0" collapsed="false">
      <c r="A8" s="14" t="s">
        <v>54</v>
      </c>
      <c r="B8" s="10" t="n">
        <f aca="false">COUNTIFS(Data!$J$2:$J$334,"B",Data!$K$2:$K$334,"A+")</f>
        <v>1</v>
      </c>
      <c r="C8" s="10" t="n">
        <f aca="false">COUNTIFS(Data!$J$2:$J$334,"B",Data!$K$2:$K$334,"A")</f>
        <v>4</v>
      </c>
      <c r="D8" s="10" t="n">
        <f aca="false">COUNTIFS(Data!$J$2:$J$334,"B",Data!$K$2:$K$334,"B+")</f>
        <v>9</v>
      </c>
      <c r="E8" s="10" t="n">
        <f aca="false">COUNTIFS(Data!$J$2:$J$334,"B",Data!$K$2:$K$334,"B")</f>
        <v>16</v>
      </c>
      <c r="F8" s="15" t="n">
        <f aca="false">COUNTIFS(Data!$J$2:$J$334,"B",Data!$K$2:$K$334,"B-")</f>
        <v>3</v>
      </c>
      <c r="G8" s="10" t="n">
        <f aca="false">COUNTIFS(Data!$J$2:$J$334,"B",Data!$K$2:$K$334,"C")</f>
        <v>4</v>
      </c>
      <c r="H8" s="10" t="n">
        <f aca="false">COUNTIFS(Data!$J$2:$J$334,"B",Data!$K$2:$K$334,"-")</f>
        <v>0</v>
      </c>
      <c r="I8" s="10" t="n">
        <f aca="false">COUNTIFS(Data!$J$2:$J$334,"B",Data!$K$2:$K$334,"")</f>
        <v>0</v>
      </c>
      <c r="J8" s="10" t="n">
        <f aca="false">SUM(B8:I8)</f>
        <v>37</v>
      </c>
    </row>
    <row r="9" customFormat="false" ht="15" hidden="false" customHeight="false" outlineLevel="0" collapsed="false">
      <c r="A9" s="16" t="s">
        <v>55</v>
      </c>
      <c r="B9" s="16" t="n">
        <f aca="false">COUNTIFS(Data!$J$2:$J$334,"B-",Data!$K$2:$K$334,"A+")</f>
        <v>0</v>
      </c>
      <c r="C9" s="16" t="n">
        <f aca="false">COUNTIFS(Data!$J$2:$J$334,"B-",Data!$K$2:$K$334,"A")</f>
        <v>3</v>
      </c>
      <c r="D9" s="16" t="n">
        <f aca="false">COUNTIFS(Data!$J$2:$J$334,"B-",Data!$K$2:$K$334,"B+")</f>
        <v>2</v>
      </c>
      <c r="E9" s="16" t="n">
        <f aca="false">COUNTIFS(Data!$J$2:$J$334,"B-",Data!$K$2:$K$334,"B")</f>
        <v>7</v>
      </c>
      <c r="F9" s="16" t="n">
        <f aca="false">COUNTIFS(Data!$J$2:$J$334,"B-",Data!$K$2:$K$334,"B-")</f>
        <v>7</v>
      </c>
      <c r="G9" s="16" t="n">
        <f aca="false">COUNTIFS(Data!$J$2:$J$334,"B-",Data!$K$2:$K$334,"C")</f>
        <v>3</v>
      </c>
      <c r="H9" s="16" t="n">
        <f aca="false">COUNTIFS(Data!$J$2:$J$334,"B-",Data!$K$2:$K$334,"-")</f>
        <v>0</v>
      </c>
      <c r="I9" s="16" t="n">
        <f aca="false">COUNTIFS(Data!$J$2:$J$334,"B-",Data!$K$2:$K$334,"")</f>
        <v>0</v>
      </c>
      <c r="J9" s="16" t="n">
        <f aca="false">SUM(B9:I9)</f>
        <v>22</v>
      </c>
    </row>
    <row r="10" customFormat="false" ht="15" hidden="false" customHeight="false" outlineLevel="0" collapsed="false">
      <c r="A10" s="14" t="s">
        <v>56</v>
      </c>
      <c r="B10" s="10" t="n">
        <f aca="false">COUNTIFS(Data!$J$2:$J$334,"C",Data!$K$2:$K$334,"A+")</f>
        <v>0</v>
      </c>
      <c r="C10" s="10" t="n">
        <f aca="false">COUNTIFS(Data!$J$2:$J$334,"C",Data!$K$2:$K$334,"A")</f>
        <v>0</v>
      </c>
      <c r="D10" s="10" t="n">
        <f aca="false">COUNTIFS(Data!$J$2:$J$334,"C",Data!$K$2:$K$334,"B+")</f>
        <v>1</v>
      </c>
      <c r="E10" s="10" t="n">
        <f aca="false">COUNTIFS(Data!$J$2:$J$334,"C",Data!$K$2:$K$334,"B")</f>
        <v>10</v>
      </c>
      <c r="F10" s="15" t="n">
        <f aca="false">COUNTIFS(Data!$J$2:$J$334,"C",Data!$K$2:$K$334,"B-")</f>
        <v>6</v>
      </c>
      <c r="G10" s="10" t="n">
        <f aca="false">COUNTIFS(Data!$J$2:$J$334,"C",Data!$K$2:$K$334,"C")</f>
        <v>41</v>
      </c>
      <c r="H10" s="10" t="n">
        <f aca="false">COUNTIFS(Data!$J$2:$J$334,"C",Data!$K$2:$K$334,"-")</f>
        <v>0</v>
      </c>
      <c r="I10" s="10" t="n">
        <f aca="false">COUNTIFS(Data!$J$2:$J$334,"C",Data!$K$2:$K$334,"")</f>
        <v>19</v>
      </c>
      <c r="J10" s="10" t="n">
        <f aca="false">SUM(B10:I10)</f>
        <v>77</v>
      </c>
    </row>
    <row r="11" customFormat="false" ht="15" hidden="false" customHeight="false" outlineLevel="0" collapsed="false">
      <c r="A11" s="14" t="s">
        <v>57</v>
      </c>
      <c r="B11" s="10" t="n">
        <f aca="false">COUNTIFS(Data!$J$2:$J$334,"-",Data!$K$2:$K$334,"A+")</f>
        <v>0</v>
      </c>
      <c r="C11" s="10" t="n">
        <f aca="false">COUNTIFS(Data!$J$2:$J$334,"-",Data!$K$2:$K$334,"A")</f>
        <v>0</v>
      </c>
      <c r="D11" s="10" t="n">
        <f aca="false">COUNTIFS(Data!$J$2:$J$334,"-",Data!$K$2:$K$334,"B+")</f>
        <v>1</v>
      </c>
      <c r="E11" s="10" t="n">
        <f aca="false">COUNTIFS(Data!$J$2:$J$334,"-",Data!$K$2:$K$334,"B")</f>
        <v>0</v>
      </c>
      <c r="F11" s="15" t="n">
        <f aca="false">COUNTIFS(Data!$J$2:$J$334,"-",Data!$K$2:$K$334,"B-")</f>
        <v>2</v>
      </c>
      <c r="G11" s="10" t="n">
        <f aca="false">COUNTIFS(Data!$J$2:$J$334,"-",Data!$K$2:$K$334,"C")</f>
        <v>17</v>
      </c>
      <c r="H11" s="10" t="n">
        <f aca="false">COUNTIFS(Data!$J$2:$J$334,"-",Data!$K$2:$K$334,"-")</f>
        <v>0</v>
      </c>
      <c r="I11" s="10" t="n">
        <f aca="false">COUNTIFS(Data!$J$2:$J$334,"-",Data!$K$2:$K$334,"")</f>
        <v>1</v>
      </c>
      <c r="J11" s="10" t="n">
        <f aca="false">SUM(B11:I11)</f>
        <v>21</v>
      </c>
    </row>
    <row r="12" customFormat="false" ht="15" hidden="false" customHeight="false" outlineLevel="0" collapsed="false">
      <c r="A12" s="14" t="s">
        <v>58</v>
      </c>
      <c r="B12" s="10" t="n">
        <f aca="false">COUNTIFS(Data!$J$2:$J$334,"",Data!$K$2:$K$334,"A+")</f>
        <v>0</v>
      </c>
      <c r="C12" s="10" t="n">
        <f aca="false">COUNTIFS(Data!$J$2:$J$334,"",Data!$K$2:$K$334,"A")</f>
        <v>0</v>
      </c>
      <c r="D12" s="10" t="n">
        <f aca="false">COUNTIFS(Data!$J$2:$J$334,"",Data!$K$2:$K$334,"B+")</f>
        <v>1</v>
      </c>
      <c r="E12" s="10" t="n">
        <f aca="false">COUNTIFS(Data!$J$2:$J$334,"",Data!$K$2:$K$334,"B")</f>
        <v>0</v>
      </c>
      <c r="F12" s="15" t="n">
        <f aca="false">COUNTIFS(Data!$J$2:$J$334,"",Data!$K$2:$K$334,"B-")</f>
        <v>0</v>
      </c>
      <c r="G12" s="10" t="n">
        <f aca="false">COUNTIFS(Data!$J$2:$J$334,"",Data!$K$2:$K$334,"C")</f>
        <v>15</v>
      </c>
      <c r="H12" s="10" t="n">
        <f aca="false">COUNTIFS(Data!$J$2:$J$334,"",Data!$K$2:$K$334,"-")</f>
        <v>17</v>
      </c>
      <c r="I12" s="10" t="n">
        <f aca="false">COUNTIFS(Data!$J$2:$J$334,"",Data!$K$2:$K$334,"")</f>
        <v>46</v>
      </c>
      <c r="J12" s="10" t="n">
        <f aca="false">SUM(B12:I12)</f>
        <v>79</v>
      </c>
    </row>
    <row r="14" customFormat="false" ht="15" hidden="false" customHeight="false" outlineLevel="0" collapsed="false">
      <c r="A14" s="17" t="s">
        <v>60</v>
      </c>
    </row>
    <row r="15" customFormat="false" ht="15" hidden="false" customHeight="false" outlineLevel="0" collapsed="false">
      <c r="A15" s="18" t="s">
        <v>61</v>
      </c>
      <c r="B15" s="18" t="n">
        <f aca="false">SUM(B9:E9)</f>
        <v>12</v>
      </c>
      <c r="C15" s="19" t="n">
        <f aca="false">IF($B$19=0,"",B15/$B$19)</f>
        <v>0.545454545454545</v>
      </c>
    </row>
    <row r="16" customFormat="false" ht="15" hidden="false" customHeight="false" outlineLevel="0" collapsed="false">
      <c r="A16" s="18" t="s">
        <v>62</v>
      </c>
      <c r="B16" s="18" t="n">
        <f aca="false">F9</f>
        <v>7</v>
      </c>
      <c r="C16" s="19" t="n">
        <f aca="false">IF($B$19=0,"",B16/$B$19)</f>
        <v>0.318181818181818</v>
      </c>
    </row>
    <row r="17" customFormat="false" ht="15" hidden="false" customHeight="false" outlineLevel="0" collapsed="false">
      <c r="A17" s="18" t="s">
        <v>63</v>
      </c>
      <c r="B17" s="18" t="n">
        <f aca="false">G9</f>
        <v>3</v>
      </c>
      <c r="C17" s="19" t="n">
        <f aca="false">IF($B$19=0,"",B17/$B$19)</f>
        <v>0.136363636363636</v>
      </c>
    </row>
    <row r="18" customFormat="false" ht="15" hidden="false" customHeight="false" outlineLevel="0" collapsed="false">
      <c r="A18" s="18" t="s">
        <v>64</v>
      </c>
      <c r="B18" s="18" t="n">
        <f aca="false">H9+I9</f>
        <v>0</v>
      </c>
      <c r="C18" s="19" t="n">
        <f aca="false">IF($B$19=0,"",B18/$B$19)</f>
        <v>0</v>
      </c>
    </row>
    <row r="19" customFormat="false" ht="15" hidden="false" customHeight="false" outlineLevel="0" collapsed="false">
      <c r="A19" s="18" t="s">
        <v>65</v>
      </c>
      <c r="B19" s="18" t="n">
        <f aca="false">J9</f>
        <v>22</v>
      </c>
      <c r="C19" s="19" t="n">
        <f aca="false">IF($B$19=0,"",B19/$B$19)</f>
        <v>1</v>
      </c>
    </row>
    <row r="21" customFormat="false" ht="15" hidden="false" customHeight="false" outlineLevel="0" collapsed="false">
      <c r="A21" s="17" t="s">
        <v>66</v>
      </c>
    </row>
    <row r="22" customFormat="false" ht="15" hidden="false" customHeight="false" outlineLevel="0" collapsed="false">
      <c r="A22" s="18" t="s">
        <v>67</v>
      </c>
      <c r="B22" s="18" t="n">
        <f aca="false">SUM(F5:F8)</f>
        <v>8</v>
      </c>
      <c r="C22" s="19" t="n">
        <f aca="false">IF($B$26=0,"",B22/$B$26)</f>
        <v>0.347826086956522</v>
      </c>
    </row>
    <row r="23" customFormat="false" ht="15" hidden="false" customHeight="false" outlineLevel="0" collapsed="false">
      <c r="A23" s="18" t="s">
        <v>62</v>
      </c>
      <c r="B23" s="18" t="n">
        <f aca="false">F9</f>
        <v>7</v>
      </c>
      <c r="C23" s="19" t="n">
        <f aca="false">IF($B$26=0,"",B23/$B$26)</f>
        <v>0.304347826086957</v>
      </c>
    </row>
    <row r="24" customFormat="false" ht="15" hidden="false" customHeight="false" outlineLevel="0" collapsed="false">
      <c r="A24" s="18" t="s">
        <v>68</v>
      </c>
      <c r="B24" s="18" t="n">
        <f aca="false">F10</f>
        <v>6</v>
      </c>
      <c r="C24" s="19" t="n">
        <f aca="false">IF($B$26=0,"",B24/$B$26)</f>
        <v>0.260869565217391</v>
      </c>
    </row>
    <row r="25" customFormat="false" ht="15" hidden="false" customHeight="false" outlineLevel="0" collapsed="false">
      <c r="A25" s="18" t="s">
        <v>69</v>
      </c>
      <c r="B25" s="18" t="n">
        <f aca="false">F11+F12</f>
        <v>2</v>
      </c>
      <c r="C25" s="19" t="n">
        <f aca="false">IF($B$26=0,"",B25/$B$26)</f>
        <v>0.0869565217391304</v>
      </c>
    </row>
    <row r="26" customFormat="false" ht="15" hidden="false" customHeight="false" outlineLevel="0" collapsed="false">
      <c r="A26" s="18" t="s">
        <v>65</v>
      </c>
      <c r="B26" s="18" t="n">
        <f aca="false">SUM(F5:F12)</f>
        <v>23</v>
      </c>
      <c r="C26" s="19" t="n">
        <f aca="false">IF($B$26=0,"",B26/$B$26)</f>
        <v>1</v>
      </c>
    </row>
    <row r="29" customFormat="false" ht="15" hidden="false" customHeight="false" outlineLevel="0" collapsed="false">
      <c r="A29" s="3" t="s">
        <v>70</v>
      </c>
    </row>
    <row r="30" customFormat="false" ht="15" hidden="false" customHeight="false" outlineLevel="0" collapsed="false">
      <c r="A30" s="4" t="s">
        <v>50</v>
      </c>
      <c r="B30" s="4" t="s">
        <v>51</v>
      </c>
      <c r="C30" s="4" t="s">
        <v>52</v>
      </c>
      <c r="D30" s="4" t="s">
        <v>53</v>
      </c>
      <c r="E30" s="4" t="s">
        <v>54</v>
      </c>
      <c r="F30" s="4" t="s">
        <v>55</v>
      </c>
      <c r="G30" s="4" t="s">
        <v>56</v>
      </c>
      <c r="H30" s="4" t="s">
        <v>57</v>
      </c>
      <c r="I30" s="4" t="s">
        <v>58</v>
      </c>
      <c r="J30" s="4" t="s">
        <v>59</v>
      </c>
    </row>
    <row r="31" customFormat="false" ht="15" hidden="false" customHeight="false" outlineLevel="0" collapsed="false">
      <c r="A31" s="14" t="s">
        <v>51</v>
      </c>
      <c r="B31" s="10" t="n">
        <f aca="false">COUNTIFS(Data!$K$2:$K$334,"A+",Data!$L$2:$L$334,"A+")</f>
        <v>7</v>
      </c>
      <c r="C31" s="10" t="n">
        <f aca="false">COUNTIFS(Data!$K$2:$K$334,"A+",Data!$L$2:$L$334,"A")</f>
        <v>2</v>
      </c>
      <c r="D31" s="10" t="n">
        <f aca="false">COUNTIFS(Data!$K$2:$K$334,"A+",Data!$L$2:$L$334,"B+")</f>
        <v>0</v>
      </c>
      <c r="E31" s="10" t="n">
        <f aca="false">COUNTIFS(Data!$K$2:$K$334,"A+",Data!$L$2:$L$334,"B")</f>
        <v>1</v>
      </c>
      <c r="F31" s="15" t="n">
        <f aca="false">COUNTIFS(Data!$K$2:$K$334,"A+",Data!$L$2:$L$334,"B-")</f>
        <v>1</v>
      </c>
      <c r="G31" s="10" t="n">
        <f aca="false">COUNTIFS(Data!$K$2:$K$334,"A+",Data!$L$2:$L$334,"C")</f>
        <v>2</v>
      </c>
      <c r="H31" s="10" t="n">
        <f aca="false">COUNTIFS(Data!$K$2:$K$334,"A+",Data!$L$2:$L$334,"-")</f>
        <v>0</v>
      </c>
      <c r="I31" s="10" t="n">
        <f aca="false">COUNTIFS(Data!$K$2:$K$334,"A+",Data!$L$2:$L$334,"")</f>
        <v>0</v>
      </c>
      <c r="J31" s="10" t="n">
        <f aca="false">SUM(B31:I31)</f>
        <v>13</v>
      </c>
    </row>
    <row r="32" customFormat="false" ht="15" hidden="false" customHeight="false" outlineLevel="0" collapsed="false">
      <c r="A32" s="14" t="s">
        <v>52</v>
      </c>
      <c r="B32" s="10" t="n">
        <f aca="false">COUNTIFS(Data!$K$2:$K$334,"A",Data!$L$2:$L$334,"A+")</f>
        <v>3</v>
      </c>
      <c r="C32" s="10" t="n">
        <f aca="false">COUNTIFS(Data!$K$2:$K$334,"A",Data!$L$2:$L$334,"A")</f>
        <v>17</v>
      </c>
      <c r="D32" s="10" t="n">
        <f aca="false">COUNTIFS(Data!$K$2:$K$334,"A",Data!$L$2:$L$334,"B+")</f>
        <v>10</v>
      </c>
      <c r="E32" s="10" t="n">
        <f aca="false">COUNTIFS(Data!$K$2:$K$334,"A",Data!$L$2:$L$334,"B")</f>
        <v>3</v>
      </c>
      <c r="F32" s="15" t="n">
        <f aca="false">COUNTIFS(Data!$K$2:$K$334,"A",Data!$L$2:$L$334,"B-")</f>
        <v>3</v>
      </c>
      <c r="G32" s="10" t="n">
        <f aca="false">COUNTIFS(Data!$K$2:$K$334,"A",Data!$L$2:$L$334,"C")</f>
        <v>1</v>
      </c>
      <c r="H32" s="10" t="n">
        <f aca="false">COUNTIFS(Data!$K$2:$K$334,"A",Data!$L$2:$L$334,"-")</f>
        <v>0</v>
      </c>
      <c r="I32" s="10" t="n">
        <f aca="false">COUNTIFS(Data!$K$2:$K$334,"A",Data!$L$2:$L$334,"")</f>
        <v>0</v>
      </c>
      <c r="J32" s="10" t="n">
        <f aca="false">SUM(B32:I32)</f>
        <v>37</v>
      </c>
    </row>
    <row r="33" customFormat="false" ht="15" hidden="false" customHeight="false" outlineLevel="0" collapsed="false">
      <c r="A33" s="14" t="s">
        <v>53</v>
      </c>
      <c r="B33" s="10" t="n">
        <f aca="false">COUNTIFS(Data!$K$2:$K$334,"B+",Data!$L$2:$L$334,"A+")</f>
        <v>1</v>
      </c>
      <c r="C33" s="10" t="n">
        <f aca="false">COUNTIFS(Data!$K$2:$K$334,"B+",Data!$L$2:$L$334,"A")</f>
        <v>8</v>
      </c>
      <c r="D33" s="10" t="n">
        <f aca="false">COUNTIFS(Data!$K$2:$K$334,"B+",Data!$L$2:$L$334,"B+")</f>
        <v>12</v>
      </c>
      <c r="E33" s="10" t="n">
        <f aca="false">COUNTIFS(Data!$K$2:$K$334,"B+",Data!$L$2:$L$334,"B")</f>
        <v>7</v>
      </c>
      <c r="F33" s="15" t="n">
        <f aca="false">COUNTIFS(Data!$K$2:$K$334,"B+",Data!$L$2:$L$334,"B-")</f>
        <v>5</v>
      </c>
      <c r="G33" s="10" t="n">
        <f aca="false">COUNTIFS(Data!$K$2:$K$334,"B+",Data!$L$2:$L$334,"C")</f>
        <v>1</v>
      </c>
      <c r="H33" s="10" t="n">
        <f aca="false">COUNTIFS(Data!$K$2:$K$334,"B+",Data!$L$2:$L$334,"-")</f>
        <v>0</v>
      </c>
      <c r="I33" s="10" t="n">
        <f aca="false">COUNTIFS(Data!$K$2:$K$334,"B+",Data!$L$2:$L$334,"")</f>
        <v>0</v>
      </c>
      <c r="J33" s="10" t="n">
        <f aca="false">SUM(B33:I33)</f>
        <v>34</v>
      </c>
    </row>
    <row r="34" customFormat="false" ht="15" hidden="false" customHeight="false" outlineLevel="0" collapsed="false">
      <c r="A34" s="14" t="s">
        <v>54</v>
      </c>
      <c r="B34" s="10" t="n">
        <f aca="false">COUNTIFS(Data!$K$2:$K$334,"B",Data!$L$2:$L$334,"A+")</f>
        <v>2</v>
      </c>
      <c r="C34" s="10" t="n">
        <f aca="false">COUNTIFS(Data!$K$2:$K$334,"B",Data!$L$2:$L$334,"A")</f>
        <v>7</v>
      </c>
      <c r="D34" s="10" t="n">
        <f aca="false">COUNTIFS(Data!$K$2:$K$334,"B",Data!$L$2:$L$334,"B+")</f>
        <v>18</v>
      </c>
      <c r="E34" s="10" t="n">
        <f aca="false">COUNTIFS(Data!$K$2:$K$334,"B",Data!$L$2:$L$334,"B")</f>
        <v>15</v>
      </c>
      <c r="F34" s="15" t="n">
        <f aca="false">COUNTIFS(Data!$K$2:$K$334,"B",Data!$L$2:$L$334,"B-")</f>
        <v>6</v>
      </c>
      <c r="G34" s="10" t="n">
        <f aca="false">COUNTIFS(Data!$K$2:$K$334,"B",Data!$L$2:$L$334,"C")</f>
        <v>5</v>
      </c>
      <c r="H34" s="10" t="n">
        <f aca="false">COUNTIFS(Data!$K$2:$K$334,"B",Data!$L$2:$L$334,"-")</f>
        <v>0</v>
      </c>
      <c r="I34" s="10" t="n">
        <f aca="false">COUNTIFS(Data!$K$2:$K$334,"B",Data!$L$2:$L$334,"")</f>
        <v>1</v>
      </c>
      <c r="J34" s="10" t="n">
        <f aca="false">SUM(B34:I34)</f>
        <v>54</v>
      </c>
    </row>
    <row r="35" customFormat="false" ht="15" hidden="false" customHeight="false" outlineLevel="0" collapsed="false">
      <c r="A35" s="16" t="s">
        <v>55</v>
      </c>
      <c r="B35" s="16" t="n">
        <f aca="false">COUNTIFS(Data!$K$2:$K$334,"B-",Data!$L$2:$L$334,"A+")</f>
        <v>0</v>
      </c>
      <c r="C35" s="16" t="n">
        <f aca="false">COUNTIFS(Data!$K$2:$K$334,"B-",Data!$L$2:$L$334,"A")</f>
        <v>1</v>
      </c>
      <c r="D35" s="16" t="n">
        <f aca="false">COUNTIFS(Data!$K$2:$K$334,"B-",Data!$L$2:$L$334,"B+")</f>
        <v>6</v>
      </c>
      <c r="E35" s="16" t="n">
        <f aca="false">COUNTIFS(Data!$K$2:$K$334,"B-",Data!$L$2:$L$334,"B")</f>
        <v>4</v>
      </c>
      <c r="F35" s="16" t="n">
        <f aca="false">COUNTIFS(Data!$K$2:$K$334,"B-",Data!$L$2:$L$334,"B-")</f>
        <v>5</v>
      </c>
      <c r="G35" s="16" t="n">
        <f aca="false">COUNTIFS(Data!$K$2:$K$334,"B-",Data!$L$2:$L$334,"C")</f>
        <v>7</v>
      </c>
      <c r="H35" s="16" t="n">
        <f aca="false">COUNTIFS(Data!$K$2:$K$334,"B-",Data!$L$2:$L$334,"-")</f>
        <v>0</v>
      </c>
      <c r="I35" s="16" t="n">
        <f aca="false">COUNTIFS(Data!$K$2:$K$334,"B-",Data!$L$2:$L$334,"")</f>
        <v>0</v>
      </c>
      <c r="J35" s="16" t="n">
        <f aca="false">SUM(B35:I35)</f>
        <v>23</v>
      </c>
    </row>
    <row r="36" customFormat="false" ht="15" hidden="false" customHeight="false" outlineLevel="0" collapsed="false">
      <c r="A36" s="14" t="s">
        <v>56</v>
      </c>
      <c r="B36" s="10" t="n">
        <f aca="false">COUNTIFS(Data!$K$2:$K$334,"C",Data!$L$2:$L$334,"A+")</f>
        <v>0</v>
      </c>
      <c r="C36" s="10" t="n">
        <f aca="false">COUNTIFS(Data!$K$2:$K$334,"C",Data!$L$2:$L$334,"A")</f>
        <v>1</v>
      </c>
      <c r="D36" s="10" t="n">
        <f aca="false">COUNTIFS(Data!$K$2:$K$334,"C",Data!$L$2:$L$334,"B+")</f>
        <v>3</v>
      </c>
      <c r="E36" s="10" t="n">
        <f aca="false">COUNTIFS(Data!$K$2:$K$334,"C",Data!$L$2:$L$334,"B")</f>
        <v>10</v>
      </c>
      <c r="F36" s="15" t="n">
        <f aca="false">COUNTIFS(Data!$K$2:$K$334,"C",Data!$L$2:$L$334,"B-")</f>
        <v>4</v>
      </c>
      <c r="G36" s="10" t="n">
        <f aca="false">COUNTIFS(Data!$K$2:$K$334,"C",Data!$L$2:$L$334,"C")</f>
        <v>32</v>
      </c>
      <c r="H36" s="10" t="n">
        <f aca="false">COUNTIFS(Data!$K$2:$K$334,"C",Data!$L$2:$L$334,"-")</f>
        <v>0</v>
      </c>
      <c r="I36" s="10" t="n">
        <f aca="false">COUNTIFS(Data!$K$2:$K$334,"C",Data!$L$2:$L$334,"")</f>
        <v>38</v>
      </c>
      <c r="J36" s="10" t="n">
        <f aca="false">SUM(B36:I36)</f>
        <v>88</v>
      </c>
    </row>
    <row r="37" customFormat="false" ht="15" hidden="false" customHeight="false" outlineLevel="0" collapsed="false">
      <c r="A37" s="14" t="s">
        <v>57</v>
      </c>
      <c r="B37" s="10" t="n">
        <f aca="false">COUNTIFS(Data!$K$2:$K$334,"-",Data!$L$2:$L$334,"A+")</f>
        <v>0</v>
      </c>
      <c r="C37" s="10" t="n">
        <f aca="false">COUNTIFS(Data!$K$2:$K$334,"-",Data!$L$2:$L$334,"A")</f>
        <v>0</v>
      </c>
      <c r="D37" s="10" t="n">
        <f aca="false">COUNTIFS(Data!$K$2:$K$334,"-",Data!$L$2:$L$334,"B+")</f>
        <v>0</v>
      </c>
      <c r="E37" s="10" t="n">
        <f aca="false">COUNTIFS(Data!$K$2:$K$334,"-",Data!$L$2:$L$334,"B")</f>
        <v>0</v>
      </c>
      <c r="F37" s="15" t="n">
        <f aca="false">COUNTIFS(Data!$K$2:$K$334,"-",Data!$L$2:$L$334,"B-")</f>
        <v>1</v>
      </c>
      <c r="G37" s="10" t="n">
        <f aca="false">COUNTIFS(Data!$K$2:$K$334,"-",Data!$L$2:$L$334,"C")</f>
        <v>14</v>
      </c>
      <c r="H37" s="10" t="n">
        <f aca="false">COUNTIFS(Data!$K$2:$K$334,"-",Data!$L$2:$L$334,"-")</f>
        <v>0</v>
      </c>
      <c r="I37" s="10" t="n">
        <f aca="false">COUNTIFS(Data!$K$2:$K$334,"-",Data!$L$2:$L$334,"")</f>
        <v>2</v>
      </c>
      <c r="J37" s="10" t="n">
        <f aca="false">SUM(B37:I37)</f>
        <v>17</v>
      </c>
    </row>
    <row r="38" customFormat="false" ht="15" hidden="false" customHeight="false" outlineLevel="0" collapsed="false">
      <c r="A38" s="14" t="s">
        <v>58</v>
      </c>
      <c r="B38" s="10" t="n">
        <f aca="false">COUNTIFS(Data!$K$2:$K$334,"",Data!$L$2:$L$334,"A+")</f>
        <v>0</v>
      </c>
      <c r="C38" s="10" t="n">
        <f aca="false">COUNTIFS(Data!$K$2:$K$334,"",Data!$L$2:$L$334,"A")</f>
        <v>0</v>
      </c>
      <c r="D38" s="10" t="n">
        <f aca="false">COUNTIFS(Data!$K$2:$K$334,"",Data!$L$2:$L$334,"B+")</f>
        <v>0</v>
      </c>
      <c r="E38" s="10" t="n">
        <f aca="false">COUNTIFS(Data!$K$2:$K$334,"",Data!$L$2:$L$334,"B")</f>
        <v>0</v>
      </c>
      <c r="F38" s="15" t="n">
        <f aca="false">COUNTIFS(Data!$K$2:$K$334,"",Data!$L$2:$L$334,"B-")</f>
        <v>0</v>
      </c>
      <c r="G38" s="10" t="n">
        <f aca="false">COUNTIFS(Data!$K$2:$K$334,"",Data!$L$2:$L$334,"C")</f>
        <v>18</v>
      </c>
      <c r="H38" s="10" t="n">
        <f aca="false">COUNTIFS(Data!$K$2:$K$334,"",Data!$L$2:$L$334,"-")</f>
        <v>0</v>
      </c>
      <c r="I38" s="10" t="n">
        <f aca="false">COUNTIFS(Data!$K$2:$K$334,"",Data!$L$2:$L$334,"")</f>
        <v>49</v>
      </c>
      <c r="J38" s="10" t="n">
        <f aca="false">SUM(B38:I38)</f>
        <v>67</v>
      </c>
    </row>
    <row r="40" customFormat="false" ht="15" hidden="false" customHeight="false" outlineLevel="0" collapsed="false">
      <c r="A40" s="17" t="s">
        <v>71</v>
      </c>
    </row>
    <row r="41" customFormat="false" ht="15" hidden="false" customHeight="false" outlineLevel="0" collapsed="false">
      <c r="A41" s="18" t="s">
        <v>61</v>
      </c>
      <c r="B41" s="18" t="n">
        <f aca="false">SUM(B35:E35)</f>
        <v>11</v>
      </c>
      <c r="C41" s="19" t="n">
        <f aca="false">IF($B$45=0,"",B41/$B$45)</f>
        <v>0.478260869565217</v>
      </c>
    </row>
    <row r="42" customFormat="false" ht="15" hidden="false" customHeight="false" outlineLevel="0" collapsed="false">
      <c r="A42" s="18" t="s">
        <v>62</v>
      </c>
      <c r="B42" s="18" t="n">
        <f aca="false">F35</f>
        <v>5</v>
      </c>
      <c r="C42" s="19" t="n">
        <f aca="false">IF($B$45=0,"",B42/$B$45)</f>
        <v>0.217391304347826</v>
      </c>
    </row>
    <row r="43" customFormat="false" ht="15" hidden="false" customHeight="false" outlineLevel="0" collapsed="false">
      <c r="A43" s="18" t="s">
        <v>63</v>
      </c>
      <c r="B43" s="18" t="n">
        <f aca="false">G35</f>
        <v>7</v>
      </c>
      <c r="C43" s="19" t="n">
        <f aca="false">IF($B$45=0,"",B43/$B$45)</f>
        <v>0.304347826086957</v>
      </c>
    </row>
    <row r="44" customFormat="false" ht="15" hidden="false" customHeight="false" outlineLevel="0" collapsed="false">
      <c r="A44" s="18" t="s">
        <v>64</v>
      </c>
      <c r="B44" s="18" t="n">
        <f aca="false">H35+I35</f>
        <v>0</v>
      </c>
      <c r="C44" s="19" t="n">
        <f aca="false">IF($B$45=0,"",B44/$B$45)</f>
        <v>0</v>
      </c>
    </row>
    <row r="45" customFormat="false" ht="15" hidden="false" customHeight="false" outlineLevel="0" collapsed="false">
      <c r="A45" s="18" t="s">
        <v>65</v>
      </c>
      <c r="B45" s="18" t="n">
        <f aca="false">J35</f>
        <v>23</v>
      </c>
      <c r="C45" s="19" t="n">
        <f aca="false">IF($B$45=0,"",B45/$B$45)</f>
        <v>1</v>
      </c>
    </row>
    <row r="47" customFormat="false" ht="15" hidden="false" customHeight="false" outlineLevel="0" collapsed="false">
      <c r="A47" s="17" t="s">
        <v>72</v>
      </c>
    </row>
    <row r="48" customFormat="false" ht="15" hidden="false" customHeight="false" outlineLevel="0" collapsed="false">
      <c r="A48" s="18" t="s">
        <v>67</v>
      </c>
      <c r="B48" s="18" t="n">
        <f aca="false">SUM(F31:F34)</f>
        <v>15</v>
      </c>
      <c r="C48" s="19" t="n">
        <f aca="false">IF($B$52=0,"",B48/$B$52)</f>
        <v>0.6</v>
      </c>
    </row>
    <row r="49" customFormat="false" ht="15" hidden="false" customHeight="false" outlineLevel="0" collapsed="false">
      <c r="A49" s="18" t="s">
        <v>62</v>
      </c>
      <c r="B49" s="18" t="n">
        <f aca="false">F35</f>
        <v>5</v>
      </c>
      <c r="C49" s="19" t="n">
        <f aca="false">IF($B$52=0,"",B49/$B$52)</f>
        <v>0.2</v>
      </c>
    </row>
    <row r="50" customFormat="false" ht="15" hidden="false" customHeight="false" outlineLevel="0" collapsed="false">
      <c r="A50" s="18" t="s">
        <v>68</v>
      </c>
      <c r="B50" s="18" t="n">
        <f aca="false">F36</f>
        <v>4</v>
      </c>
      <c r="C50" s="19" t="n">
        <f aca="false">IF($B$52=0,"",B50/$B$52)</f>
        <v>0.16</v>
      </c>
    </row>
    <row r="51" customFormat="false" ht="15" hidden="false" customHeight="false" outlineLevel="0" collapsed="false">
      <c r="A51" s="18" t="s">
        <v>69</v>
      </c>
      <c r="B51" s="18" t="n">
        <f aca="false">F37+F38</f>
        <v>1</v>
      </c>
      <c r="C51" s="19" t="n">
        <f aca="false">IF($B$52=0,"",B51/$B$52)</f>
        <v>0.04</v>
      </c>
    </row>
    <row r="52" customFormat="false" ht="15" hidden="false" customHeight="false" outlineLevel="0" collapsed="false">
      <c r="A52" s="18" t="s">
        <v>65</v>
      </c>
      <c r="B52" s="18" t="n">
        <f aca="false">SUM(F31:F38)</f>
        <v>25</v>
      </c>
      <c r="C52" s="19" t="n">
        <f aca="false">IF($B$52=0,"",B52/$B$52)</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4" min="3" style="0" width="9"/>
    <col collapsed="false" customWidth="true" hidden="false" outlineLevel="0" max="5" min="5" style="0" width="12"/>
    <col collapsed="false" customWidth="true" hidden="false" outlineLevel="0" max="6" min="6" style="0" width="11"/>
    <col collapsed="false" customWidth="true" hidden="false" outlineLevel="0" max="9" min="7" style="0" width="9"/>
    <col collapsed="false" customWidth="true" hidden="false" outlineLevel="0" max="11" min="10" style="0" width="10"/>
    <col collapsed="false" customWidth="true" hidden="false" outlineLevel="0" max="12" min="12" style="0" width="13"/>
  </cols>
  <sheetData>
    <row r="1" customFormat="false" ht="26.85" hidden="false" customHeight="false" outlineLevel="0" collapsed="false">
      <c r="A1" s="20" t="s">
        <v>73</v>
      </c>
      <c r="B1" s="20" t="s">
        <v>24</v>
      </c>
      <c r="C1" s="20" t="s">
        <v>11</v>
      </c>
      <c r="D1" s="20" t="s">
        <v>14</v>
      </c>
      <c r="E1" s="20" t="s">
        <v>74</v>
      </c>
      <c r="F1" s="20" t="s">
        <v>75</v>
      </c>
      <c r="G1" s="20" t="s">
        <v>76</v>
      </c>
      <c r="H1" s="20" t="s">
        <v>77</v>
      </c>
      <c r="I1" s="20" t="s">
        <v>78</v>
      </c>
      <c r="J1" s="20" t="s">
        <v>79</v>
      </c>
      <c r="K1" s="20" t="s">
        <v>80</v>
      </c>
      <c r="L1" s="20" t="s">
        <v>81</v>
      </c>
    </row>
    <row r="2" customFormat="false" ht="15" hidden="false" customHeight="false" outlineLevel="0" collapsed="false">
      <c r="A2" s="18" t="n">
        <v>1</v>
      </c>
      <c r="B2" s="18" t="s">
        <v>26</v>
      </c>
      <c r="C2" s="18" t="s">
        <v>12</v>
      </c>
      <c r="D2" s="18" t="s">
        <v>15</v>
      </c>
      <c r="E2" s="18" t="s">
        <v>82</v>
      </c>
      <c r="F2" s="18" t="s">
        <v>82</v>
      </c>
      <c r="G2" s="18" t="s">
        <v>83</v>
      </c>
      <c r="H2" s="18" t="s">
        <v>83</v>
      </c>
      <c r="I2" s="18" t="s">
        <v>83</v>
      </c>
      <c r="J2" s="18" t="s">
        <v>54</v>
      </c>
      <c r="K2" s="18" t="s">
        <v>53</v>
      </c>
      <c r="L2" s="18" t="s">
        <v>55</v>
      </c>
    </row>
    <row r="3" customFormat="false" ht="15" hidden="false" customHeight="false" outlineLevel="0" collapsed="false">
      <c r="A3" s="18" t="n">
        <v>2</v>
      </c>
      <c r="B3" s="18" t="s">
        <v>42</v>
      </c>
      <c r="C3" s="18" t="s">
        <v>13</v>
      </c>
      <c r="D3" s="18" t="s">
        <v>16</v>
      </c>
      <c r="E3" s="18" t="s">
        <v>82</v>
      </c>
      <c r="F3" s="18" t="s">
        <v>82</v>
      </c>
      <c r="G3" s="18" t="s">
        <v>83</v>
      </c>
      <c r="H3" s="18" t="s">
        <v>83</v>
      </c>
      <c r="I3" s="18" t="s">
        <v>83</v>
      </c>
      <c r="J3" s="18" t="s">
        <v>52</v>
      </c>
      <c r="K3" s="18" t="s">
        <v>53</v>
      </c>
      <c r="L3" s="18" t="s">
        <v>55</v>
      </c>
    </row>
    <row r="4" customFormat="false" ht="15" hidden="false" customHeight="false" outlineLevel="0" collapsed="false">
      <c r="A4" s="18" t="n">
        <v>3</v>
      </c>
      <c r="B4" s="18" t="s">
        <v>27</v>
      </c>
      <c r="C4" s="18" t="s">
        <v>12</v>
      </c>
      <c r="D4" s="18" t="s">
        <v>15</v>
      </c>
      <c r="E4" s="18" t="s">
        <v>82</v>
      </c>
      <c r="F4" s="18" t="s">
        <v>82</v>
      </c>
      <c r="G4" s="18" t="s">
        <v>83</v>
      </c>
      <c r="H4" s="18" t="s">
        <v>83</v>
      </c>
      <c r="I4" s="18" t="s">
        <v>83</v>
      </c>
      <c r="J4" s="18" t="s">
        <v>54</v>
      </c>
      <c r="K4" s="18" t="s">
        <v>53</v>
      </c>
      <c r="L4" s="18" t="s">
        <v>52</v>
      </c>
    </row>
    <row r="5" customFormat="false" ht="15" hidden="false" customHeight="false" outlineLevel="0" collapsed="false">
      <c r="A5" s="18" t="n">
        <v>4</v>
      </c>
      <c r="B5" s="18" t="s">
        <v>29</v>
      </c>
      <c r="C5" s="18" t="s">
        <v>12</v>
      </c>
      <c r="D5" s="18" t="s">
        <v>15</v>
      </c>
      <c r="E5" s="18" t="s">
        <v>82</v>
      </c>
      <c r="F5" s="18" t="s">
        <v>82</v>
      </c>
      <c r="G5" s="18" t="s">
        <v>84</v>
      </c>
      <c r="H5" s="18" t="s">
        <v>85</v>
      </c>
      <c r="I5" s="18" t="s">
        <v>83</v>
      </c>
      <c r="J5" s="18" t="s">
        <v>56</v>
      </c>
      <c r="K5" s="18" t="s">
        <v>53</v>
      </c>
      <c r="L5" s="18" t="s">
        <v>54</v>
      </c>
    </row>
    <row r="6" customFormat="false" ht="15" hidden="false" customHeight="false" outlineLevel="0" collapsed="false">
      <c r="A6" s="18" t="n">
        <v>5</v>
      </c>
      <c r="B6" s="18" t="s">
        <v>37</v>
      </c>
      <c r="C6" s="18" t="s">
        <v>12</v>
      </c>
      <c r="D6" s="18" t="s">
        <v>16</v>
      </c>
      <c r="E6" s="18" t="s">
        <v>82</v>
      </c>
      <c r="F6" s="18" t="s">
        <v>82</v>
      </c>
      <c r="G6" s="18" t="s">
        <v>83</v>
      </c>
      <c r="H6" s="18" t="s">
        <v>83</v>
      </c>
      <c r="I6" s="18" t="s">
        <v>83</v>
      </c>
      <c r="J6" s="18" t="s">
        <v>52</v>
      </c>
      <c r="K6" s="18" t="s">
        <v>53</v>
      </c>
      <c r="L6" s="18" t="s">
        <v>53</v>
      </c>
    </row>
    <row r="7" customFormat="false" ht="15" hidden="false" customHeight="false" outlineLevel="0" collapsed="false">
      <c r="A7" s="18" t="n">
        <v>6</v>
      </c>
      <c r="B7" s="18" t="s">
        <v>29</v>
      </c>
      <c r="C7" s="18" t="s">
        <v>12</v>
      </c>
      <c r="D7" s="18" t="s">
        <v>15</v>
      </c>
      <c r="E7" s="18" t="s">
        <v>82</v>
      </c>
      <c r="F7" s="18" t="s">
        <v>82</v>
      </c>
      <c r="G7" s="18" t="s">
        <v>83</v>
      </c>
      <c r="H7" s="18" t="s">
        <v>83</v>
      </c>
      <c r="I7" s="18" t="s">
        <v>83</v>
      </c>
      <c r="J7" s="18" t="s">
        <v>53</v>
      </c>
      <c r="K7" s="18" t="s">
        <v>53</v>
      </c>
      <c r="L7" s="18" t="s">
        <v>54</v>
      </c>
    </row>
    <row r="8" customFormat="false" ht="15" hidden="false" customHeight="false" outlineLevel="0" collapsed="false">
      <c r="A8" s="18" t="n">
        <v>7</v>
      </c>
      <c r="B8" s="18" t="s">
        <v>44</v>
      </c>
      <c r="C8" s="18" t="s">
        <v>13</v>
      </c>
      <c r="D8" s="18" t="s">
        <v>16</v>
      </c>
      <c r="E8" s="18" t="s">
        <v>82</v>
      </c>
      <c r="F8" s="18" t="s">
        <v>82</v>
      </c>
      <c r="G8" s="18" t="s">
        <v>83</v>
      </c>
      <c r="H8" s="18" t="s">
        <v>83</v>
      </c>
      <c r="I8" s="18" t="s">
        <v>83</v>
      </c>
      <c r="J8" s="18" t="s">
        <v>54</v>
      </c>
      <c r="K8" s="18" t="s">
        <v>54</v>
      </c>
      <c r="L8" s="18" t="s">
        <v>53</v>
      </c>
    </row>
    <row r="9" customFormat="false" ht="15" hidden="false" customHeight="false" outlineLevel="0" collapsed="false">
      <c r="A9" s="18" t="n">
        <v>8</v>
      </c>
      <c r="B9" s="18" t="s">
        <v>36</v>
      </c>
      <c r="C9" s="18" t="s">
        <v>12</v>
      </c>
      <c r="D9" s="18" t="s">
        <v>16</v>
      </c>
      <c r="E9" s="18" t="s">
        <v>82</v>
      </c>
      <c r="F9" s="18" t="s">
        <v>82</v>
      </c>
      <c r="G9" s="18" t="s">
        <v>84</v>
      </c>
      <c r="H9" s="18" t="s">
        <v>85</v>
      </c>
      <c r="I9" s="18" t="s">
        <v>83</v>
      </c>
      <c r="J9" s="18" t="s">
        <v>56</v>
      </c>
      <c r="K9" s="18" t="s">
        <v>56</v>
      </c>
      <c r="L9" s="18" t="s">
        <v>55</v>
      </c>
    </row>
    <row r="10" customFormat="false" ht="15" hidden="false" customHeight="false" outlineLevel="0" collapsed="false">
      <c r="A10" s="18" t="n">
        <v>9</v>
      </c>
      <c r="B10" s="18" t="s">
        <v>42</v>
      </c>
      <c r="C10" s="18" t="s">
        <v>13</v>
      </c>
      <c r="D10" s="18" t="s">
        <v>16</v>
      </c>
      <c r="E10" s="18" t="s">
        <v>82</v>
      </c>
      <c r="F10" s="18" t="s">
        <v>82</v>
      </c>
      <c r="G10" s="18" t="s">
        <v>83</v>
      </c>
      <c r="H10" s="18" t="s">
        <v>83</v>
      </c>
      <c r="I10" s="18" t="s">
        <v>83</v>
      </c>
      <c r="J10" s="18" t="s">
        <v>53</v>
      </c>
      <c r="K10" s="18" t="s">
        <v>54</v>
      </c>
      <c r="L10" s="18" t="s">
        <v>54</v>
      </c>
    </row>
    <row r="11" customFormat="false" ht="15" hidden="false" customHeight="false" outlineLevel="0" collapsed="false">
      <c r="A11" s="18" t="n">
        <v>10</v>
      </c>
      <c r="B11" s="18" t="s">
        <v>43</v>
      </c>
      <c r="C11" s="18" t="s">
        <v>13</v>
      </c>
      <c r="D11" s="18" t="s">
        <v>16</v>
      </c>
      <c r="E11" s="18" t="s">
        <v>82</v>
      </c>
      <c r="F11" s="18" t="s">
        <v>82</v>
      </c>
      <c r="G11" s="18"/>
      <c r="H11" s="18" t="s">
        <v>86</v>
      </c>
      <c r="I11" s="18" t="s">
        <v>84</v>
      </c>
      <c r="J11" s="18"/>
      <c r="K11" s="18" t="s">
        <v>57</v>
      </c>
      <c r="L11" s="18" t="s">
        <v>55</v>
      </c>
    </row>
    <row r="12" customFormat="false" ht="15" hidden="false" customHeight="false" outlineLevel="0" collapsed="false">
      <c r="A12" s="18" t="n">
        <v>11</v>
      </c>
      <c r="B12" s="18" t="s">
        <v>28</v>
      </c>
      <c r="C12" s="18" t="s">
        <v>12</v>
      </c>
      <c r="D12" s="18" t="s">
        <v>15</v>
      </c>
      <c r="E12" s="18" t="s">
        <v>82</v>
      </c>
      <c r="F12" s="18" t="s">
        <v>82</v>
      </c>
      <c r="G12" s="18" t="s">
        <v>83</v>
      </c>
      <c r="H12" s="18" t="s">
        <v>83</v>
      </c>
      <c r="I12" s="18" t="s">
        <v>83</v>
      </c>
      <c r="J12" s="18" t="s">
        <v>56</v>
      </c>
      <c r="K12" s="18" t="s">
        <v>56</v>
      </c>
      <c r="L12" s="18" t="s">
        <v>56</v>
      </c>
    </row>
    <row r="13" customFormat="false" ht="15" hidden="false" customHeight="false" outlineLevel="0" collapsed="false">
      <c r="A13" s="18" t="n">
        <v>12</v>
      </c>
      <c r="B13" s="18" t="s">
        <v>32</v>
      </c>
      <c r="C13" s="18" t="s">
        <v>12</v>
      </c>
      <c r="D13" s="18" t="s">
        <v>16</v>
      </c>
      <c r="E13" s="18" t="s">
        <v>82</v>
      </c>
      <c r="F13" s="18" t="s">
        <v>82</v>
      </c>
      <c r="G13" s="18" t="s">
        <v>83</v>
      </c>
      <c r="H13" s="18" t="s">
        <v>83</v>
      </c>
      <c r="I13" s="18" t="s">
        <v>83</v>
      </c>
      <c r="J13" s="18" t="s">
        <v>52</v>
      </c>
      <c r="K13" s="18" t="s">
        <v>51</v>
      </c>
      <c r="L13" s="18" t="s">
        <v>51</v>
      </c>
    </row>
    <row r="14" customFormat="false" ht="15" hidden="false" customHeight="false" outlineLevel="0" collapsed="false">
      <c r="A14" s="18" t="n">
        <v>13</v>
      </c>
      <c r="B14" s="18" t="s">
        <v>37</v>
      </c>
      <c r="C14" s="18" t="s">
        <v>12</v>
      </c>
      <c r="D14" s="18" t="s">
        <v>16</v>
      </c>
      <c r="E14" s="18" t="s">
        <v>82</v>
      </c>
      <c r="F14" s="18" t="s">
        <v>82</v>
      </c>
      <c r="G14" s="18" t="s">
        <v>83</v>
      </c>
      <c r="H14" s="18" t="s">
        <v>83</v>
      </c>
      <c r="I14" s="18" t="s">
        <v>83</v>
      </c>
      <c r="J14" s="18" t="s">
        <v>54</v>
      </c>
      <c r="K14" s="18" t="s">
        <v>54</v>
      </c>
      <c r="L14" s="18" t="s">
        <v>55</v>
      </c>
    </row>
    <row r="15" customFormat="false" ht="15" hidden="false" customHeight="false" outlineLevel="0" collapsed="false">
      <c r="A15" s="18" t="n">
        <v>14</v>
      </c>
      <c r="B15" s="18" t="s">
        <v>38</v>
      </c>
      <c r="C15" s="18" t="s">
        <v>12</v>
      </c>
      <c r="D15" s="18" t="s">
        <v>15</v>
      </c>
      <c r="E15" s="18" t="s">
        <v>82</v>
      </c>
      <c r="F15" s="18" t="s">
        <v>82</v>
      </c>
      <c r="G15" s="18" t="s">
        <v>83</v>
      </c>
      <c r="H15" s="18" t="s">
        <v>83</v>
      </c>
      <c r="I15" s="18" t="s">
        <v>83</v>
      </c>
      <c r="J15" s="18" t="s">
        <v>54</v>
      </c>
      <c r="K15" s="18" t="s">
        <v>54</v>
      </c>
      <c r="L15" s="18" t="s">
        <v>54</v>
      </c>
    </row>
    <row r="16" customFormat="false" ht="15" hidden="false" customHeight="false" outlineLevel="0" collapsed="false">
      <c r="A16" s="18" t="n">
        <v>15</v>
      </c>
      <c r="B16" s="18" t="s">
        <v>45</v>
      </c>
      <c r="C16" s="18" t="s">
        <v>13</v>
      </c>
      <c r="D16" s="18" t="s">
        <v>16</v>
      </c>
      <c r="E16" s="18" t="s">
        <v>82</v>
      </c>
      <c r="F16" s="18" t="s">
        <v>82</v>
      </c>
      <c r="G16" s="18" t="s">
        <v>86</v>
      </c>
      <c r="H16" s="18" t="s">
        <v>84</v>
      </c>
      <c r="I16" s="18" t="s">
        <v>85</v>
      </c>
      <c r="J16" s="18" t="s">
        <v>57</v>
      </c>
      <c r="K16" s="18" t="s">
        <v>56</v>
      </c>
      <c r="L16" s="18" t="s">
        <v>55</v>
      </c>
    </row>
    <row r="17" customFormat="false" ht="15" hidden="false" customHeight="false" outlineLevel="0" collapsed="false">
      <c r="A17" s="18" t="n">
        <v>16</v>
      </c>
      <c r="B17" s="18" t="s">
        <v>32</v>
      </c>
      <c r="C17" s="18" t="s">
        <v>12</v>
      </c>
      <c r="D17" s="18" t="s">
        <v>16</v>
      </c>
      <c r="E17" s="18" t="s">
        <v>82</v>
      </c>
      <c r="F17" s="18" t="s">
        <v>82</v>
      </c>
      <c r="G17" s="18" t="s">
        <v>83</v>
      </c>
      <c r="H17" s="18" t="s">
        <v>83</v>
      </c>
      <c r="I17" s="18" t="s">
        <v>83</v>
      </c>
      <c r="J17" s="18" t="s">
        <v>55</v>
      </c>
      <c r="K17" s="18" t="s">
        <v>52</v>
      </c>
      <c r="L17" s="18" t="s">
        <v>53</v>
      </c>
    </row>
    <row r="18" customFormat="false" ht="15" hidden="false" customHeight="false" outlineLevel="0" collapsed="false">
      <c r="A18" s="18" t="n">
        <v>17</v>
      </c>
      <c r="B18" s="18" t="s">
        <v>39</v>
      </c>
      <c r="C18" s="18" t="s">
        <v>13</v>
      </c>
      <c r="D18" s="18" t="s">
        <v>17</v>
      </c>
      <c r="E18" s="18"/>
      <c r="F18" s="18"/>
      <c r="G18" s="18" t="s">
        <v>83</v>
      </c>
      <c r="H18" s="18"/>
      <c r="I18" s="18"/>
      <c r="J18" s="18" t="s">
        <v>56</v>
      </c>
      <c r="K18" s="18"/>
      <c r="L18" s="18"/>
    </row>
    <row r="19" customFormat="false" ht="15" hidden="false" customHeight="false" outlineLevel="0" collapsed="false">
      <c r="A19" s="18" t="n">
        <v>18</v>
      </c>
      <c r="B19" s="18" t="s">
        <v>29</v>
      </c>
      <c r="C19" s="18" t="s">
        <v>12</v>
      </c>
      <c r="D19" s="18" t="s">
        <v>15</v>
      </c>
      <c r="E19" s="18"/>
      <c r="F19" s="18" t="s">
        <v>87</v>
      </c>
      <c r="G19" s="18" t="s">
        <v>84</v>
      </c>
      <c r="H19" s="18" t="s">
        <v>85</v>
      </c>
      <c r="I19" s="18"/>
      <c r="J19" s="18" t="s">
        <v>56</v>
      </c>
      <c r="K19" s="18" t="s">
        <v>56</v>
      </c>
      <c r="L19" s="18"/>
    </row>
    <row r="20" customFormat="false" ht="15" hidden="false" customHeight="false" outlineLevel="0" collapsed="false">
      <c r="A20" s="18" t="n">
        <v>19</v>
      </c>
      <c r="B20" s="18" t="s">
        <v>41</v>
      </c>
      <c r="C20" s="18" t="s">
        <v>13</v>
      </c>
      <c r="D20" s="18" t="s">
        <v>16</v>
      </c>
      <c r="E20" s="18"/>
      <c r="F20" s="18"/>
      <c r="G20" s="18" t="s">
        <v>83</v>
      </c>
      <c r="H20" s="18"/>
      <c r="I20" s="18"/>
      <c r="J20" s="18" t="s">
        <v>56</v>
      </c>
      <c r="K20" s="18"/>
      <c r="L20" s="18"/>
    </row>
    <row r="21" customFormat="false" ht="15" hidden="false" customHeight="false" outlineLevel="0" collapsed="false">
      <c r="A21" s="18" t="n">
        <v>20</v>
      </c>
      <c r="B21" s="18" t="s">
        <v>29</v>
      </c>
      <c r="C21" s="18" t="s">
        <v>12</v>
      </c>
      <c r="D21" s="18" t="s">
        <v>15</v>
      </c>
      <c r="E21" s="18"/>
      <c r="F21" s="18" t="s">
        <v>87</v>
      </c>
      <c r="G21" s="18" t="s">
        <v>85</v>
      </c>
      <c r="H21" s="18" t="s">
        <v>83</v>
      </c>
      <c r="I21" s="18"/>
      <c r="J21" s="18" t="s">
        <v>56</v>
      </c>
      <c r="K21" s="18" t="s">
        <v>56</v>
      </c>
      <c r="L21" s="18"/>
    </row>
    <row r="22" customFormat="false" ht="15" hidden="false" customHeight="false" outlineLevel="0" collapsed="false">
      <c r="A22" s="18" t="n">
        <v>21</v>
      </c>
      <c r="B22" s="18" t="s">
        <v>42</v>
      </c>
      <c r="C22" s="18" t="s">
        <v>13</v>
      </c>
      <c r="D22" s="18" t="s">
        <v>16</v>
      </c>
      <c r="E22" s="18"/>
      <c r="F22" s="18"/>
      <c r="G22" s="18"/>
      <c r="H22" s="18"/>
      <c r="I22" s="18"/>
      <c r="J22" s="18"/>
      <c r="K22" s="18"/>
      <c r="L22" s="18"/>
    </row>
    <row r="23" customFormat="false" ht="15" hidden="false" customHeight="false" outlineLevel="0" collapsed="false">
      <c r="A23" s="18" t="n">
        <v>22</v>
      </c>
      <c r="B23" s="18" t="s">
        <v>41</v>
      </c>
      <c r="C23" s="18" t="s">
        <v>13</v>
      </c>
      <c r="D23" s="18" t="s">
        <v>16</v>
      </c>
      <c r="E23" s="18" t="s">
        <v>82</v>
      </c>
      <c r="F23" s="18" t="s">
        <v>82</v>
      </c>
      <c r="G23" s="18" t="s">
        <v>83</v>
      </c>
      <c r="H23" s="18" t="s">
        <v>83</v>
      </c>
      <c r="I23" s="18" t="s">
        <v>83</v>
      </c>
      <c r="J23" s="18" t="s">
        <v>53</v>
      </c>
      <c r="K23" s="18" t="s">
        <v>56</v>
      </c>
      <c r="L23" s="18" t="s">
        <v>52</v>
      </c>
    </row>
    <row r="24" customFormat="false" ht="15" hidden="false" customHeight="false" outlineLevel="0" collapsed="false">
      <c r="A24" s="18" t="n">
        <v>23</v>
      </c>
      <c r="B24" s="18" t="s">
        <v>42</v>
      </c>
      <c r="C24" s="18" t="s">
        <v>13</v>
      </c>
      <c r="D24" s="18" t="s">
        <v>16</v>
      </c>
      <c r="E24" s="18" t="s">
        <v>82</v>
      </c>
      <c r="F24" s="18" t="s">
        <v>82</v>
      </c>
      <c r="G24" s="18" t="s">
        <v>83</v>
      </c>
      <c r="H24" s="18" t="s">
        <v>83</v>
      </c>
      <c r="I24" s="18" t="s">
        <v>83</v>
      </c>
      <c r="J24" s="18" t="s">
        <v>53</v>
      </c>
      <c r="K24" s="18" t="s">
        <v>52</v>
      </c>
      <c r="L24" s="18" t="s">
        <v>55</v>
      </c>
    </row>
    <row r="25" customFormat="false" ht="15" hidden="false" customHeight="false" outlineLevel="0" collapsed="false">
      <c r="A25" s="18" t="n">
        <v>24</v>
      </c>
      <c r="B25" s="18" t="s">
        <v>44</v>
      </c>
      <c r="C25" s="18" t="s">
        <v>13</v>
      </c>
      <c r="D25" s="18" t="s">
        <v>16</v>
      </c>
      <c r="E25" s="18" t="s">
        <v>82</v>
      </c>
      <c r="F25" s="18" t="s">
        <v>82</v>
      </c>
      <c r="G25" s="18" t="s">
        <v>85</v>
      </c>
      <c r="H25" s="18" t="s">
        <v>83</v>
      </c>
      <c r="I25" s="18" t="s">
        <v>83</v>
      </c>
      <c r="J25" s="18" t="s">
        <v>54</v>
      </c>
      <c r="K25" s="18" t="s">
        <v>54</v>
      </c>
      <c r="L25" s="18" t="s">
        <v>54</v>
      </c>
    </row>
    <row r="26" customFormat="false" ht="15" hidden="false" customHeight="false" outlineLevel="0" collapsed="false">
      <c r="A26" s="18" t="n">
        <v>25</v>
      </c>
      <c r="B26" s="18" t="s">
        <v>34</v>
      </c>
      <c r="C26" s="18" t="s">
        <v>12</v>
      </c>
      <c r="D26" s="18" t="s">
        <v>16</v>
      </c>
      <c r="E26" s="18" t="s">
        <v>82</v>
      </c>
      <c r="F26" s="18" t="s">
        <v>82</v>
      </c>
      <c r="G26" s="18" t="s">
        <v>83</v>
      </c>
      <c r="H26" s="18" t="s">
        <v>83</v>
      </c>
      <c r="I26" s="18" t="s">
        <v>83</v>
      </c>
      <c r="J26" s="18" t="s">
        <v>53</v>
      </c>
      <c r="K26" s="18" t="s">
        <v>52</v>
      </c>
      <c r="L26" s="18" t="s">
        <v>54</v>
      </c>
    </row>
    <row r="27" customFormat="false" ht="15" hidden="false" customHeight="false" outlineLevel="0" collapsed="false">
      <c r="A27" s="18" t="n">
        <v>26</v>
      </c>
      <c r="B27" s="18" t="s">
        <v>26</v>
      </c>
      <c r="C27" s="18" t="s">
        <v>12</v>
      </c>
      <c r="D27" s="18" t="s">
        <v>15</v>
      </c>
      <c r="E27" s="18" t="s">
        <v>82</v>
      </c>
      <c r="F27" s="18" t="s">
        <v>82</v>
      </c>
      <c r="G27" s="18" t="s">
        <v>83</v>
      </c>
      <c r="H27" s="18" t="s">
        <v>83</v>
      </c>
      <c r="I27" s="18" t="s">
        <v>83</v>
      </c>
      <c r="J27" s="18" t="s">
        <v>55</v>
      </c>
      <c r="K27" s="18" t="s">
        <v>56</v>
      </c>
      <c r="L27" s="18" t="s">
        <v>54</v>
      </c>
    </row>
    <row r="28" customFormat="false" ht="15" hidden="false" customHeight="false" outlineLevel="0" collapsed="false">
      <c r="A28" s="18" t="n">
        <v>27</v>
      </c>
      <c r="B28" s="18" t="s">
        <v>36</v>
      </c>
      <c r="C28" s="18" t="s">
        <v>12</v>
      </c>
      <c r="D28" s="18" t="s">
        <v>16</v>
      </c>
      <c r="E28" s="18" t="s">
        <v>82</v>
      </c>
      <c r="F28" s="18" t="s">
        <v>82</v>
      </c>
      <c r="G28" s="18" t="s">
        <v>83</v>
      </c>
      <c r="H28" s="18" t="s">
        <v>83</v>
      </c>
      <c r="I28" s="18" t="s">
        <v>83</v>
      </c>
      <c r="J28" s="18" t="s">
        <v>52</v>
      </c>
      <c r="K28" s="18" t="s">
        <v>52</v>
      </c>
      <c r="L28" s="18" t="s">
        <v>53</v>
      </c>
    </row>
    <row r="29" customFormat="false" ht="15" hidden="false" customHeight="false" outlineLevel="0" collapsed="false">
      <c r="A29" s="18" t="n">
        <v>28</v>
      </c>
      <c r="B29" s="18" t="s">
        <v>30</v>
      </c>
      <c r="C29" s="18" t="s">
        <v>12</v>
      </c>
      <c r="D29" s="18" t="s">
        <v>15</v>
      </c>
      <c r="E29" s="18" t="s">
        <v>82</v>
      </c>
      <c r="F29" s="18" t="s">
        <v>82</v>
      </c>
      <c r="G29" s="18" t="s">
        <v>83</v>
      </c>
      <c r="H29" s="18" t="s">
        <v>83</v>
      </c>
      <c r="I29" s="18" t="s">
        <v>83</v>
      </c>
      <c r="J29" s="18" t="s">
        <v>54</v>
      </c>
      <c r="K29" s="18" t="s">
        <v>56</v>
      </c>
      <c r="L29" s="18" t="s">
        <v>54</v>
      </c>
    </row>
    <row r="30" customFormat="false" ht="15" hidden="false" customHeight="false" outlineLevel="0" collapsed="false">
      <c r="A30" s="18" t="n">
        <v>29</v>
      </c>
      <c r="B30" s="18" t="s">
        <v>45</v>
      </c>
      <c r="C30" s="18" t="s">
        <v>13</v>
      </c>
      <c r="D30" s="18" t="s">
        <v>16</v>
      </c>
      <c r="E30" s="18" t="s">
        <v>82</v>
      </c>
      <c r="F30" s="18" t="s">
        <v>82</v>
      </c>
      <c r="G30" s="18" t="s">
        <v>84</v>
      </c>
      <c r="H30" s="18" t="s">
        <v>85</v>
      </c>
      <c r="I30" s="18" t="s">
        <v>83</v>
      </c>
      <c r="J30" s="18" t="s">
        <v>53</v>
      </c>
      <c r="K30" s="18" t="s">
        <v>52</v>
      </c>
      <c r="L30" s="18" t="s">
        <v>52</v>
      </c>
    </row>
    <row r="31" customFormat="false" ht="15" hidden="false" customHeight="false" outlineLevel="0" collapsed="false">
      <c r="A31" s="18" t="n">
        <v>30</v>
      </c>
      <c r="B31" s="18" t="s">
        <v>41</v>
      </c>
      <c r="C31" s="18" t="s">
        <v>13</v>
      </c>
      <c r="D31" s="18" t="s">
        <v>16</v>
      </c>
      <c r="E31" s="18" t="s">
        <v>82</v>
      </c>
      <c r="F31" s="18" t="s">
        <v>82</v>
      </c>
      <c r="G31" s="18" t="s">
        <v>83</v>
      </c>
      <c r="H31" s="18" t="s">
        <v>83</v>
      </c>
      <c r="I31" s="18" t="s">
        <v>83</v>
      </c>
      <c r="J31" s="18" t="s">
        <v>52</v>
      </c>
      <c r="K31" s="18" t="s">
        <v>54</v>
      </c>
      <c r="L31" s="18" t="s">
        <v>52</v>
      </c>
    </row>
    <row r="32" customFormat="false" ht="15" hidden="false" customHeight="false" outlineLevel="0" collapsed="false">
      <c r="A32" s="18" t="n">
        <v>31</v>
      </c>
      <c r="B32" s="18" t="s">
        <v>43</v>
      </c>
      <c r="C32" s="18" t="s">
        <v>13</v>
      </c>
      <c r="D32" s="18" t="s">
        <v>16</v>
      </c>
      <c r="E32" s="18" t="s">
        <v>82</v>
      </c>
      <c r="F32" s="18" t="s">
        <v>82</v>
      </c>
      <c r="G32" s="18" t="s">
        <v>83</v>
      </c>
      <c r="H32" s="18" t="s">
        <v>83</v>
      </c>
      <c r="I32" s="18" t="s">
        <v>83</v>
      </c>
      <c r="J32" s="18" t="s">
        <v>51</v>
      </c>
      <c r="K32" s="18" t="s">
        <v>52</v>
      </c>
      <c r="L32" s="18" t="s">
        <v>51</v>
      </c>
    </row>
    <row r="33" customFormat="false" ht="15" hidden="false" customHeight="false" outlineLevel="0" collapsed="false">
      <c r="A33" s="18" t="n">
        <v>32</v>
      </c>
      <c r="B33" s="18" t="s">
        <v>33</v>
      </c>
      <c r="C33" s="18" t="s">
        <v>12</v>
      </c>
      <c r="D33" s="18" t="s">
        <v>16</v>
      </c>
      <c r="E33" s="18" t="s">
        <v>82</v>
      </c>
      <c r="F33" s="18" t="s">
        <v>82</v>
      </c>
      <c r="G33" s="18" t="s">
        <v>83</v>
      </c>
      <c r="H33" s="18" t="s">
        <v>83</v>
      </c>
      <c r="I33" s="18" t="s">
        <v>83</v>
      </c>
      <c r="J33" s="18" t="s">
        <v>52</v>
      </c>
      <c r="K33" s="18" t="s">
        <v>52</v>
      </c>
      <c r="L33" s="18" t="s">
        <v>52</v>
      </c>
    </row>
    <row r="34" customFormat="false" ht="15" hidden="false" customHeight="false" outlineLevel="0" collapsed="false">
      <c r="A34" s="18" t="n">
        <v>33</v>
      </c>
      <c r="B34" s="18" t="s">
        <v>35</v>
      </c>
      <c r="C34" s="18" t="s">
        <v>12</v>
      </c>
      <c r="D34" s="18" t="s">
        <v>16</v>
      </c>
      <c r="E34" s="18" t="s">
        <v>82</v>
      </c>
      <c r="F34" s="18" t="s">
        <v>82</v>
      </c>
      <c r="G34" s="18" t="s">
        <v>83</v>
      </c>
      <c r="H34" s="18" t="s">
        <v>83</v>
      </c>
      <c r="I34" s="18" t="s">
        <v>83</v>
      </c>
      <c r="J34" s="18" t="s">
        <v>53</v>
      </c>
      <c r="K34" s="18" t="s">
        <v>54</v>
      </c>
      <c r="L34" s="18" t="s">
        <v>52</v>
      </c>
    </row>
    <row r="35" customFormat="false" ht="15" hidden="false" customHeight="false" outlineLevel="0" collapsed="false">
      <c r="A35" s="18" t="n">
        <v>34</v>
      </c>
      <c r="B35" s="18" t="s">
        <v>28</v>
      </c>
      <c r="C35" s="18" t="s">
        <v>12</v>
      </c>
      <c r="D35" s="18" t="s">
        <v>15</v>
      </c>
      <c r="E35" s="18" t="s">
        <v>82</v>
      </c>
      <c r="F35" s="18" t="s">
        <v>82</v>
      </c>
      <c r="G35" s="18" t="s">
        <v>83</v>
      </c>
      <c r="H35" s="18" t="s">
        <v>83</v>
      </c>
      <c r="I35" s="18" t="s">
        <v>83</v>
      </c>
      <c r="J35" s="18" t="s">
        <v>56</v>
      </c>
      <c r="K35" s="18" t="s">
        <v>56</v>
      </c>
      <c r="L35" s="18" t="s">
        <v>54</v>
      </c>
    </row>
    <row r="36" customFormat="false" ht="15" hidden="false" customHeight="false" outlineLevel="0" collapsed="false">
      <c r="A36" s="18" t="n">
        <v>35</v>
      </c>
      <c r="B36" s="18" t="s">
        <v>29</v>
      </c>
      <c r="C36" s="18" t="s">
        <v>12</v>
      </c>
      <c r="D36" s="18" t="s">
        <v>15</v>
      </c>
      <c r="E36" s="18"/>
      <c r="F36" s="18" t="s">
        <v>87</v>
      </c>
      <c r="G36" s="18" t="s">
        <v>83</v>
      </c>
      <c r="H36" s="18" t="s">
        <v>83</v>
      </c>
      <c r="I36" s="18"/>
      <c r="J36" s="18" t="s">
        <v>56</v>
      </c>
      <c r="K36" s="18" t="s">
        <v>56</v>
      </c>
      <c r="L36" s="18"/>
    </row>
    <row r="37" customFormat="false" ht="15" hidden="false" customHeight="false" outlineLevel="0" collapsed="false">
      <c r="A37" s="18" t="n">
        <v>36</v>
      </c>
      <c r="B37" s="18" t="s">
        <v>32</v>
      </c>
      <c r="C37" s="18" t="s">
        <v>12</v>
      </c>
      <c r="D37" s="18" t="s">
        <v>16</v>
      </c>
      <c r="E37" s="18" t="s">
        <v>82</v>
      </c>
      <c r="F37" s="18" t="s">
        <v>82</v>
      </c>
      <c r="G37" s="18" t="s">
        <v>83</v>
      </c>
      <c r="H37" s="18" t="s">
        <v>83</v>
      </c>
      <c r="I37" s="18" t="s">
        <v>83</v>
      </c>
      <c r="J37" s="18" t="s">
        <v>53</v>
      </c>
      <c r="K37" s="18" t="s">
        <v>53</v>
      </c>
      <c r="L37" s="18" t="s">
        <v>55</v>
      </c>
    </row>
    <row r="38" customFormat="false" ht="15" hidden="false" customHeight="false" outlineLevel="0" collapsed="false">
      <c r="A38" s="18" t="n">
        <v>37</v>
      </c>
      <c r="B38" s="18" t="s">
        <v>38</v>
      </c>
      <c r="C38" s="18" t="s">
        <v>12</v>
      </c>
      <c r="D38" s="18" t="s">
        <v>15</v>
      </c>
      <c r="E38" s="18" t="s">
        <v>82</v>
      </c>
      <c r="F38" s="18" t="s">
        <v>82</v>
      </c>
      <c r="G38" s="18" t="s">
        <v>83</v>
      </c>
      <c r="H38" s="18" t="s">
        <v>83</v>
      </c>
      <c r="I38" s="18" t="s">
        <v>83</v>
      </c>
      <c r="J38" s="18" t="s">
        <v>54</v>
      </c>
      <c r="K38" s="18" t="s">
        <v>52</v>
      </c>
      <c r="L38" s="18" t="s">
        <v>52</v>
      </c>
    </row>
    <row r="39" customFormat="false" ht="15" hidden="false" customHeight="false" outlineLevel="0" collapsed="false">
      <c r="A39" s="18" t="n">
        <v>38</v>
      </c>
      <c r="B39" s="18" t="s">
        <v>30</v>
      </c>
      <c r="C39" s="18" t="s">
        <v>12</v>
      </c>
      <c r="D39" s="18" t="s">
        <v>15</v>
      </c>
      <c r="E39" s="18" t="s">
        <v>82</v>
      </c>
      <c r="F39" s="18" t="s">
        <v>82</v>
      </c>
      <c r="G39" s="18" t="s">
        <v>83</v>
      </c>
      <c r="H39" s="18" t="s">
        <v>83</v>
      </c>
      <c r="I39" s="18" t="s">
        <v>83</v>
      </c>
      <c r="J39" s="18" t="s">
        <v>56</v>
      </c>
      <c r="K39" s="18" t="s">
        <v>56</v>
      </c>
      <c r="L39" s="18" t="s">
        <v>56</v>
      </c>
    </row>
    <row r="40" customFormat="false" ht="15" hidden="false" customHeight="false" outlineLevel="0" collapsed="false">
      <c r="A40" s="18" t="n">
        <v>39</v>
      </c>
      <c r="B40" s="18" t="s">
        <v>28</v>
      </c>
      <c r="C40" s="18" t="s">
        <v>12</v>
      </c>
      <c r="D40" s="18" t="s">
        <v>15</v>
      </c>
      <c r="E40" s="18"/>
      <c r="F40" s="18" t="s">
        <v>87</v>
      </c>
      <c r="G40" s="18" t="s">
        <v>83</v>
      </c>
      <c r="H40" s="18" t="s">
        <v>83</v>
      </c>
      <c r="I40" s="18"/>
      <c r="J40" s="18" t="s">
        <v>56</v>
      </c>
      <c r="K40" s="18" t="s">
        <v>56</v>
      </c>
      <c r="L40" s="18"/>
    </row>
    <row r="41" customFormat="false" ht="15" hidden="false" customHeight="false" outlineLevel="0" collapsed="false">
      <c r="A41" s="18" t="n">
        <v>40</v>
      </c>
      <c r="B41" s="18" t="s">
        <v>38</v>
      </c>
      <c r="C41" s="18" t="s">
        <v>12</v>
      </c>
      <c r="D41" s="18" t="s">
        <v>15</v>
      </c>
      <c r="E41" s="18" t="s">
        <v>82</v>
      </c>
      <c r="F41" s="18" t="s">
        <v>82</v>
      </c>
      <c r="G41" s="18" t="s">
        <v>83</v>
      </c>
      <c r="H41" s="18" t="s">
        <v>83</v>
      </c>
      <c r="I41" s="18" t="s">
        <v>83</v>
      </c>
      <c r="J41" s="18" t="s">
        <v>55</v>
      </c>
      <c r="K41" s="18" t="s">
        <v>54</v>
      </c>
      <c r="L41" s="18" t="s">
        <v>53</v>
      </c>
    </row>
    <row r="42" customFormat="false" ht="15" hidden="false" customHeight="false" outlineLevel="0" collapsed="false">
      <c r="A42" s="18" t="n">
        <v>41</v>
      </c>
      <c r="B42" s="18" t="s">
        <v>40</v>
      </c>
      <c r="C42" s="18" t="s">
        <v>13</v>
      </c>
      <c r="D42" s="18" t="s">
        <v>15</v>
      </c>
      <c r="E42" s="18" t="s">
        <v>82</v>
      </c>
      <c r="F42" s="18" t="s">
        <v>82</v>
      </c>
      <c r="G42" s="18" t="s">
        <v>86</v>
      </c>
      <c r="H42" s="18" t="s">
        <v>84</v>
      </c>
      <c r="I42" s="18" t="s">
        <v>85</v>
      </c>
      <c r="J42" s="18" t="s">
        <v>57</v>
      </c>
      <c r="K42" s="18" t="s">
        <v>56</v>
      </c>
      <c r="L42" s="18" t="s">
        <v>56</v>
      </c>
    </row>
    <row r="43" customFormat="false" ht="15" hidden="false" customHeight="false" outlineLevel="0" collapsed="false">
      <c r="A43" s="18" t="n">
        <v>42</v>
      </c>
      <c r="B43" s="18" t="s">
        <v>26</v>
      </c>
      <c r="C43" s="18" t="s">
        <v>12</v>
      </c>
      <c r="D43" s="18" t="s">
        <v>15</v>
      </c>
      <c r="E43" s="18" t="s">
        <v>82</v>
      </c>
      <c r="F43" s="18" t="s">
        <v>82</v>
      </c>
      <c r="G43" s="18" t="s">
        <v>83</v>
      </c>
      <c r="H43" s="18" t="s">
        <v>83</v>
      </c>
      <c r="I43" s="18" t="s">
        <v>83</v>
      </c>
      <c r="J43" s="18" t="s">
        <v>55</v>
      </c>
      <c r="K43" s="18" t="s">
        <v>54</v>
      </c>
      <c r="L43" s="18" t="s">
        <v>52</v>
      </c>
    </row>
    <row r="44" customFormat="false" ht="15" hidden="false" customHeight="false" outlineLevel="0" collapsed="false">
      <c r="A44" s="18" t="n">
        <v>43</v>
      </c>
      <c r="B44" s="18" t="s">
        <v>29</v>
      </c>
      <c r="C44" s="18" t="s">
        <v>12</v>
      </c>
      <c r="D44" s="18" t="s">
        <v>15</v>
      </c>
      <c r="E44" s="18"/>
      <c r="F44" s="18"/>
      <c r="G44" s="18"/>
      <c r="H44" s="18"/>
      <c r="I44" s="18"/>
      <c r="J44" s="18"/>
      <c r="K44" s="18"/>
      <c r="L44" s="18"/>
    </row>
    <row r="45" customFormat="false" ht="15" hidden="false" customHeight="false" outlineLevel="0" collapsed="false">
      <c r="A45" s="18" t="n">
        <v>44</v>
      </c>
      <c r="B45" s="18" t="s">
        <v>45</v>
      </c>
      <c r="C45" s="18" t="s">
        <v>13</v>
      </c>
      <c r="D45" s="18" t="s">
        <v>16</v>
      </c>
      <c r="E45" s="18" t="s">
        <v>82</v>
      </c>
      <c r="F45" s="18" t="s">
        <v>82</v>
      </c>
      <c r="G45" s="18" t="s">
        <v>83</v>
      </c>
      <c r="H45" s="18" t="s">
        <v>83</v>
      </c>
      <c r="I45" s="18" t="s">
        <v>83</v>
      </c>
      <c r="J45" s="18" t="s">
        <v>53</v>
      </c>
      <c r="K45" s="18" t="s">
        <v>54</v>
      </c>
      <c r="L45" s="18" t="s">
        <v>55</v>
      </c>
    </row>
    <row r="46" customFormat="false" ht="15" hidden="false" customHeight="false" outlineLevel="0" collapsed="false">
      <c r="A46" s="18" t="n">
        <v>45</v>
      </c>
      <c r="B46" s="18" t="s">
        <v>36</v>
      </c>
      <c r="C46" s="18" t="s">
        <v>12</v>
      </c>
      <c r="D46" s="18" t="s">
        <v>16</v>
      </c>
      <c r="E46" s="18" t="s">
        <v>82</v>
      </c>
      <c r="F46" s="18" t="s">
        <v>82</v>
      </c>
      <c r="G46" s="18" t="s">
        <v>83</v>
      </c>
      <c r="H46" s="18" t="s">
        <v>83</v>
      </c>
      <c r="I46" s="18" t="s">
        <v>83</v>
      </c>
      <c r="J46" s="18" t="s">
        <v>56</v>
      </c>
      <c r="K46" s="18" t="s">
        <v>54</v>
      </c>
      <c r="L46" s="18" t="s">
        <v>56</v>
      </c>
    </row>
    <row r="47" customFormat="false" ht="15" hidden="false" customHeight="false" outlineLevel="0" collapsed="false">
      <c r="A47" s="18" t="n">
        <v>46</v>
      </c>
      <c r="B47" s="18" t="s">
        <v>44</v>
      </c>
      <c r="C47" s="18" t="s">
        <v>13</v>
      </c>
      <c r="D47" s="18" t="s">
        <v>16</v>
      </c>
      <c r="E47" s="18" t="s">
        <v>82</v>
      </c>
      <c r="F47" s="18" t="s">
        <v>82</v>
      </c>
      <c r="G47" s="18" t="s">
        <v>85</v>
      </c>
      <c r="H47" s="18" t="s">
        <v>83</v>
      </c>
      <c r="I47" s="18" t="s">
        <v>83</v>
      </c>
      <c r="J47" s="18" t="s">
        <v>55</v>
      </c>
      <c r="K47" s="18" t="s">
        <v>55</v>
      </c>
      <c r="L47" s="18" t="s">
        <v>55</v>
      </c>
    </row>
    <row r="48" customFormat="false" ht="15" hidden="false" customHeight="false" outlineLevel="0" collapsed="false">
      <c r="A48" s="18" t="n">
        <v>47</v>
      </c>
      <c r="B48" s="18" t="s">
        <v>35</v>
      </c>
      <c r="C48" s="18" t="s">
        <v>12</v>
      </c>
      <c r="D48" s="18" t="s">
        <v>16</v>
      </c>
      <c r="E48" s="18" t="s">
        <v>82</v>
      </c>
      <c r="F48" s="18" t="s">
        <v>82</v>
      </c>
      <c r="G48" s="18" t="s">
        <v>85</v>
      </c>
      <c r="H48" s="18" t="s">
        <v>83</v>
      </c>
      <c r="I48" s="18" t="s">
        <v>83</v>
      </c>
      <c r="J48" s="18" t="s">
        <v>54</v>
      </c>
      <c r="K48" s="18" t="s">
        <v>56</v>
      </c>
      <c r="L48" s="18" t="s">
        <v>56</v>
      </c>
    </row>
    <row r="49" customFormat="false" ht="15" hidden="false" customHeight="false" outlineLevel="0" collapsed="false">
      <c r="A49" s="18" t="n">
        <v>48</v>
      </c>
      <c r="B49" s="18" t="s">
        <v>40</v>
      </c>
      <c r="C49" s="18" t="s">
        <v>13</v>
      </c>
      <c r="D49" s="18" t="s">
        <v>15</v>
      </c>
      <c r="E49" s="18"/>
      <c r="F49" s="18" t="s">
        <v>87</v>
      </c>
      <c r="G49" s="18" t="s">
        <v>84</v>
      </c>
      <c r="H49" s="18" t="s">
        <v>85</v>
      </c>
      <c r="I49" s="18"/>
      <c r="J49" s="18" t="s">
        <v>56</v>
      </c>
      <c r="K49" s="18" t="s">
        <v>56</v>
      </c>
      <c r="L49" s="18"/>
    </row>
    <row r="50" customFormat="false" ht="15" hidden="false" customHeight="false" outlineLevel="0" collapsed="false">
      <c r="A50" s="18" t="n">
        <v>49</v>
      </c>
      <c r="B50" s="18" t="s">
        <v>34</v>
      </c>
      <c r="C50" s="18" t="s">
        <v>12</v>
      </c>
      <c r="D50" s="18" t="s">
        <v>16</v>
      </c>
      <c r="E50" s="18" t="s">
        <v>82</v>
      </c>
      <c r="F50" s="18" t="s">
        <v>82</v>
      </c>
      <c r="G50" s="18" t="s">
        <v>83</v>
      </c>
      <c r="H50" s="18" t="s">
        <v>83</v>
      </c>
      <c r="I50" s="18" t="s">
        <v>83</v>
      </c>
      <c r="J50" s="18" t="s">
        <v>56</v>
      </c>
      <c r="K50" s="18" t="s">
        <v>54</v>
      </c>
      <c r="L50" s="18" t="s">
        <v>53</v>
      </c>
    </row>
    <row r="51" customFormat="false" ht="15" hidden="false" customHeight="false" outlineLevel="0" collapsed="false">
      <c r="A51" s="18" t="n">
        <v>50</v>
      </c>
      <c r="B51" s="18" t="s">
        <v>37</v>
      </c>
      <c r="C51" s="18" t="s">
        <v>12</v>
      </c>
      <c r="D51" s="18" t="s">
        <v>16</v>
      </c>
      <c r="E51" s="18" t="s">
        <v>82</v>
      </c>
      <c r="F51" s="18" t="s">
        <v>82</v>
      </c>
      <c r="G51" s="18" t="s">
        <v>83</v>
      </c>
      <c r="H51" s="18" t="s">
        <v>83</v>
      </c>
      <c r="I51" s="18" t="s">
        <v>83</v>
      </c>
      <c r="J51" s="18" t="s">
        <v>54</v>
      </c>
      <c r="K51" s="18" t="s">
        <v>54</v>
      </c>
      <c r="L51" s="18" t="s">
        <v>54</v>
      </c>
    </row>
    <row r="52" customFormat="false" ht="15" hidden="false" customHeight="false" outlineLevel="0" collapsed="false">
      <c r="A52" s="18" t="n">
        <v>51</v>
      </c>
      <c r="B52" s="18" t="s">
        <v>30</v>
      </c>
      <c r="C52" s="18" t="s">
        <v>12</v>
      </c>
      <c r="D52" s="18" t="s">
        <v>15</v>
      </c>
      <c r="E52" s="18"/>
      <c r="F52" s="18" t="s">
        <v>82</v>
      </c>
      <c r="G52" s="18" t="s">
        <v>84</v>
      </c>
      <c r="H52" s="18" t="s">
        <v>85</v>
      </c>
      <c r="I52" s="18"/>
      <c r="J52" s="18" t="s">
        <v>56</v>
      </c>
      <c r="K52" s="18" t="s">
        <v>56</v>
      </c>
      <c r="L52" s="18"/>
    </row>
    <row r="53" customFormat="false" ht="15" hidden="false" customHeight="false" outlineLevel="0" collapsed="false">
      <c r="A53" s="18" t="n">
        <v>52</v>
      </c>
      <c r="B53" s="18" t="s">
        <v>27</v>
      </c>
      <c r="C53" s="18" t="s">
        <v>12</v>
      </c>
      <c r="D53" s="18" t="s">
        <v>15</v>
      </c>
      <c r="E53" s="18"/>
      <c r="F53" s="18"/>
      <c r="G53" s="18" t="s">
        <v>83</v>
      </c>
      <c r="H53" s="18"/>
      <c r="I53" s="18"/>
      <c r="J53" s="18" t="s">
        <v>56</v>
      </c>
      <c r="K53" s="18"/>
      <c r="L53" s="18"/>
    </row>
    <row r="54" customFormat="false" ht="15" hidden="false" customHeight="false" outlineLevel="0" collapsed="false">
      <c r="A54" s="18" t="n">
        <v>53</v>
      </c>
      <c r="B54" s="18" t="s">
        <v>36</v>
      </c>
      <c r="C54" s="18" t="s">
        <v>12</v>
      </c>
      <c r="D54" s="18" t="s">
        <v>16</v>
      </c>
      <c r="E54" s="18" t="s">
        <v>82</v>
      </c>
      <c r="F54" s="18" t="s">
        <v>82</v>
      </c>
      <c r="G54" s="18" t="s">
        <v>83</v>
      </c>
      <c r="H54" s="18" t="s">
        <v>83</v>
      </c>
      <c r="I54" s="18" t="s">
        <v>83</v>
      </c>
      <c r="J54" s="18" t="s">
        <v>51</v>
      </c>
      <c r="K54" s="18" t="s">
        <v>51</v>
      </c>
      <c r="L54" s="18" t="s">
        <v>56</v>
      </c>
    </row>
    <row r="55" customFormat="false" ht="15" hidden="false" customHeight="false" outlineLevel="0" collapsed="false">
      <c r="A55" s="18" t="n">
        <v>54</v>
      </c>
      <c r="B55" s="18" t="s">
        <v>40</v>
      </c>
      <c r="C55" s="18" t="s">
        <v>13</v>
      </c>
      <c r="D55" s="18" t="s">
        <v>15</v>
      </c>
      <c r="E55" s="18"/>
      <c r="F55" s="18" t="s">
        <v>87</v>
      </c>
      <c r="G55" s="18" t="s">
        <v>85</v>
      </c>
      <c r="H55" s="18" t="s">
        <v>83</v>
      </c>
      <c r="I55" s="18"/>
      <c r="J55" s="18" t="s">
        <v>56</v>
      </c>
      <c r="K55" s="18" t="s">
        <v>56</v>
      </c>
      <c r="L55" s="18"/>
    </row>
    <row r="56" customFormat="false" ht="15" hidden="false" customHeight="false" outlineLevel="0" collapsed="false">
      <c r="A56" s="18" t="n">
        <v>55</v>
      </c>
      <c r="B56" s="18" t="s">
        <v>37</v>
      </c>
      <c r="C56" s="18" t="s">
        <v>12</v>
      </c>
      <c r="D56" s="18" t="s">
        <v>16</v>
      </c>
      <c r="E56" s="18" t="s">
        <v>82</v>
      </c>
      <c r="F56" s="18" t="s">
        <v>82</v>
      </c>
      <c r="G56" s="18" t="s">
        <v>83</v>
      </c>
      <c r="H56" s="18" t="s">
        <v>83</v>
      </c>
      <c r="I56" s="18" t="s">
        <v>83</v>
      </c>
      <c r="J56" s="18" t="s">
        <v>51</v>
      </c>
      <c r="K56" s="18" t="s">
        <v>51</v>
      </c>
      <c r="L56" s="18" t="s">
        <v>51</v>
      </c>
    </row>
    <row r="57" customFormat="false" ht="15" hidden="false" customHeight="false" outlineLevel="0" collapsed="false">
      <c r="A57" s="18" t="n">
        <v>56</v>
      </c>
      <c r="B57" s="18" t="s">
        <v>35</v>
      </c>
      <c r="C57" s="18" t="s">
        <v>12</v>
      </c>
      <c r="D57" s="18" t="s">
        <v>16</v>
      </c>
      <c r="E57" s="18"/>
      <c r="F57" s="18" t="s">
        <v>87</v>
      </c>
      <c r="G57" s="18" t="s">
        <v>84</v>
      </c>
      <c r="H57" s="18" t="s">
        <v>85</v>
      </c>
      <c r="I57" s="18"/>
      <c r="J57" s="18" t="s">
        <v>56</v>
      </c>
      <c r="K57" s="18" t="s">
        <v>56</v>
      </c>
      <c r="L57" s="18"/>
    </row>
    <row r="58" customFormat="false" ht="15" hidden="false" customHeight="false" outlineLevel="0" collapsed="false">
      <c r="A58" s="18" t="n">
        <v>57</v>
      </c>
      <c r="B58" s="18" t="s">
        <v>36</v>
      </c>
      <c r="C58" s="18" t="s">
        <v>12</v>
      </c>
      <c r="D58" s="18" t="s">
        <v>16</v>
      </c>
      <c r="E58" s="18" t="s">
        <v>82</v>
      </c>
      <c r="F58" s="18" t="s">
        <v>82</v>
      </c>
      <c r="G58" s="18" t="s">
        <v>83</v>
      </c>
      <c r="H58" s="18" t="s">
        <v>83</v>
      </c>
      <c r="I58" s="18" t="s">
        <v>83</v>
      </c>
      <c r="J58" s="18" t="s">
        <v>53</v>
      </c>
      <c r="K58" s="18" t="s">
        <v>54</v>
      </c>
      <c r="L58" s="18" t="s">
        <v>51</v>
      </c>
    </row>
    <row r="59" customFormat="false" ht="15" hidden="false" customHeight="false" outlineLevel="0" collapsed="false">
      <c r="A59" s="18" t="n">
        <v>58</v>
      </c>
      <c r="B59" s="18" t="s">
        <v>40</v>
      </c>
      <c r="C59" s="18" t="s">
        <v>13</v>
      </c>
      <c r="D59" s="18" t="s">
        <v>15</v>
      </c>
      <c r="E59" s="18" t="s">
        <v>82</v>
      </c>
      <c r="F59" s="18" t="s">
        <v>82</v>
      </c>
      <c r="G59" s="18" t="s">
        <v>86</v>
      </c>
      <c r="H59" s="18" t="s">
        <v>84</v>
      </c>
      <c r="I59" s="18" t="s">
        <v>85</v>
      </c>
      <c r="J59" s="18" t="s">
        <v>57</v>
      </c>
      <c r="K59" s="18" t="s">
        <v>56</v>
      </c>
      <c r="L59" s="18" t="s">
        <v>56</v>
      </c>
    </row>
    <row r="60" customFormat="false" ht="15" hidden="false" customHeight="false" outlineLevel="0" collapsed="false">
      <c r="A60" s="18" t="n">
        <v>59</v>
      </c>
      <c r="B60" s="18" t="s">
        <v>29</v>
      </c>
      <c r="C60" s="18" t="s">
        <v>12</v>
      </c>
      <c r="D60" s="18" t="s">
        <v>15</v>
      </c>
      <c r="E60" s="18" t="s">
        <v>82</v>
      </c>
      <c r="F60" s="18" t="s">
        <v>82</v>
      </c>
      <c r="G60" s="18" t="s">
        <v>85</v>
      </c>
      <c r="H60" s="18" t="s">
        <v>83</v>
      </c>
      <c r="I60" s="18" t="s">
        <v>83</v>
      </c>
      <c r="J60" s="18" t="s">
        <v>51</v>
      </c>
      <c r="K60" s="18" t="s">
        <v>52</v>
      </c>
      <c r="L60" s="18" t="s">
        <v>52</v>
      </c>
    </row>
    <row r="61" customFormat="false" ht="15" hidden="false" customHeight="false" outlineLevel="0" collapsed="false">
      <c r="A61" s="18" t="n">
        <v>60</v>
      </c>
      <c r="B61" s="18" t="s">
        <v>27</v>
      </c>
      <c r="C61" s="18" t="s">
        <v>12</v>
      </c>
      <c r="D61" s="18" t="s">
        <v>15</v>
      </c>
      <c r="E61" s="18" t="s">
        <v>87</v>
      </c>
      <c r="F61" s="18" t="s">
        <v>82</v>
      </c>
      <c r="G61" s="18" t="s">
        <v>85</v>
      </c>
      <c r="H61" s="18" t="s">
        <v>83</v>
      </c>
      <c r="I61" s="18" t="s">
        <v>83</v>
      </c>
      <c r="J61" s="18" t="s">
        <v>56</v>
      </c>
      <c r="K61" s="18" t="s">
        <v>56</v>
      </c>
      <c r="L61" s="18" t="s">
        <v>56</v>
      </c>
    </row>
    <row r="62" customFormat="false" ht="15" hidden="false" customHeight="false" outlineLevel="0" collapsed="false">
      <c r="A62" s="18" t="n">
        <v>61</v>
      </c>
      <c r="B62" s="18" t="s">
        <v>32</v>
      </c>
      <c r="C62" s="18" t="s">
        <v>12</v>
      </c>
      <c r="D62" s="18" t="s">
        <v>16</v>
      </c>
      <c r="E62" s="18" t="s">
        <v>82</v>
      </c>
      <c r="F62" s="18" t="s">
        <v>82</v>
      </c>
      <c r="G62" s="18" t="s">
        <v>83</v>
      </c>
      <c r="H62" s="18" t="s">
        <v>83</v>
      </c>
      <c r="I62" s="18" t="s">
        <v>83</v>
      </c>
      <c r="J62" s="18" t="s">
        <v>52</v>
      </c>
      <c r="K62" s="18" t="s">
        <v>52</v>
      </c>
      <c r="L62" s="18" t="s">
        <v>52</v>
      </c>
    </row>
    <row r="63" customFormat="false" ht="15" hidden="false" customHeight="false" outlineLevel="0" collapsed="false">
      <c r="A63" s="18" t="n">
        <v>62</v>
      </c>
      <c r="B63" s="18" t="s">
        <v>26</v>
      </c>
      <c r="C63" s="18" t="s">
        <v>12</v>
      </c>
      <c r="D63" s="18" t="s">
        <v>15</v>
      </c>
      <c r="E63" s="18" t="s">
        <v>82</v>
      </c>
      <c r="F63" s="18" t="s">
        <v>82</v>
      </c>
      <c r="G63" s="18" t="s">
        <v>83</v>
      </c>
      <c r="H63" s="18" t="s">
        <v>83</v>
      </c>
      <c r="I63" s="18" t="s">
        <v>83</v>
      </c>
      <c r="J63" s="18" t="s">
        <v>53</v>
      </c>
      <c r="K63" s="18" t="s">
        <v>54</v>
      </c>
      <c r="L63" s="18" t="s">
        <v>52</v>
      </c>
    </row>
    <row r="64" customFormat="false" ht="15" hidden="false" customHeight="false" outlineLevel="0" collapsed="false">
      <c r="A64" s="18" t="n">
        <v>63</v>
      </c>
      <c r="B64" s="18" t="s">
        <v>33</v>
      </c>
      <c r="C64" s="18" t="s">
        <v>12</v>
      </c>
      <c r="D64" s="18" t="s">
        <v>16</v>
      </c>
      <c r="E64" s="18" t="s">
        <v>82</v>
      </c>
      <c r="F64" s="18" t="s">
        <v>82</v>
      </c>
      <c r="G64" s="18" t="s">
        <v>83</v>
      </c>
      <c r="H64" s="18" t="s">
        <v>83</v>
      </c>
      <c r="I64" s="18" t="s">
        <v>83</v>
      </c>
      <c r="J64" s="18" t="s">
        <v>52</v>
      </c>
      <c r="K64" s="18" t="s">
        <v>52</v>
      </c>
      <c r="L64" s="18" t="s">
        <v>52</v>
      </c>
    </row>
    <row r="65" customFormat="false" ht="15" hidden="false" customHeight="false" outlineLevel="0" collapsed="false">
      <c r="A65" s="18" t="n">
        <v>64</v>
      </c>
      <c r="B65" s="18" t="s">
        <v>34</v>
      </c>
      <c r="C65" s="18" t="s">
        <v>12</v>
      </c>
      <c r="D65" s="18" t="s">
        <v>16</v>
      </c>
      <c r="E65" s="18" t="s">
        <v>82</v>
      </c>
      <c r="F65" s="18" t="s">
        <v>82</v>
      </c>
      <c r="G65" s="18" t="s">
        <v>83</v>
      </c>
      <c r="H65" s="18" t="s">
        <v>83</v>
      </c>
      <c r="I65" s="18" t="s">
        <v>83</v>
      </c>
      <c r="J65" s="18" t="s">
        <v>54</v>
      </c>
      <c r="K65" s="18" t="s">
        <v>53</v>
      </c>
      <c r="L65" s="18" t="s">
        <v>55</v>
      </c>
    </row>
    <row r="66" customFormat="false" ht="15" hidden="false" customHeight="false" outlineLevel="0" collapsed="false">
      <c r="A66" s="18" t="n">
        <v>65</v>
      </c>
      <c r="B66" s="18" t="s">
        <v>40</v>
      </c>
      <c r="C66" s="18" t="s">
        <v>13</v>
      </c>
      <c r="D66" s="18" t="s">
        <v>15</v>
      </c>
      <c r="E66" s="18"/>
      <c r="F66" s="18" t="s">
        <v>87</v>
      </c>
      <c r="G66" s="18" t="s">
        <v>86</v>
      </c>
      <c r="H66" s="18" t="s">
        <v>84</v>
      </c>
      <c r="I66" s="18"/>
      <c r="J66" s="18" t="s">
        <v>57</v>
      </c>
      <c r="K66" s="18" t="s">
        <v>56</v>
      </c>
      <c r="L66" s="18"/>
    </row>
    <row r="67" customFormat="false" ht="15" hidden="false" customHeight="false" outlineLevel="0" collapsed="false">
      <c r="A67" s="18" t="n">
        <v>66</v>
      </c>
      <c r="B67" s="18" t="s">
        <v>27</v>
      </c>
      <c r="C67" s="18" t="s">
        <v>12</v>
      </c>
      <c r="D67" s="18" t="s">
        <v>15</v>
      </c>
      <c r="E67" s="18"/>
      <c r="F67" s="18" t="s">
        <v>87</v>
      </c>
      <c r="G67" s="18" t="s">
        <v>86</v>
      </c>
      <c r="H67" s="18" t="s">
        <v>84</v>
      </c>
      <c r="I67" s="18"/>
      <c r="J67" s="18" t="s">
        <v>57</v>
      </c>
      <c r="K67" s="18" t="s">
        <v>56</v>
      </c>
      <c r="L67" s="18"/>
    </row>
    <row r="68" customFormat="false" ht="15" hidden="false" customHeight="false" outlineLevel="0" collapsed="false">
      <c r="A68" s="18" t="n">
        <v>67</v>
      </c>
      <c r="B68" s="18" t="s">
        <v>40</v>
      </c>
      <c r="C68" s="18" t="s">
        <v>13</v>
      </c>
      <c r="D68" s="18" t="s">
        <v>15</v>
      </c>
      <c r="E68" s="18" t="s">
        <v>82</v>
      </c>
      <c r="F68" s="18" t="s">
        <v>82</v>
      </c>
      <c r="G68" s="18" t="s">
        <v>86</v>
      </c>
      <c r="H68" s="18" t="s">
        <v>84</v>
      </c>
      <c r="I68" s="18" t="s">
        <v>85</v>
      </c>
      <c r="J68" s="18" t="s">
        <v>57</v>
      </c>
      <c r="K68" s="18" t="s">
        <v>56</v>
      </c>
      <c r="L68" s="18" t="s">
        <v>56</v>
      </c>
    </row>
    <row r="69" customFormat="false" ht="15" hidden="false" customHeight="false" outlineLevel="0" collapsed="false">
      <c r="A69" s="18" t="n">
        <v>68</v>
      </c>
      <c r="B69" s="18" t="s">
        <v>31</v>
      </c>
      <c r="C69" s="18" t="s">
        <v>12</v>
      </c>
      <c r="D69" s="18" t="s">
        <v>15</v>
      </c>
      <c r="E69" s="18" t="s">
        <v>82</v>
      </c>
      <c r="F69" s="18" t="s">
        <v>82</v>
      </c>
      <c r="G69" s="18" t="s">
        <v>83</v>
      </c>
      <c r="H69" s="18" t="s">
        <v>83</v>
      </c>
      <c r="I69" s="18" t="s">
        <v>83</v>
      </c>
      <c r="J69" s="18" t="s">
        <v>53</v>
      </c>
      <c r="K69" s="18" t="s">
        <v>56</v>
      </c>
      <c r="L69" s="18" t="s">
        <v>55</v>
      </c>
    </row>
    <row r="70" customFormat="false" ht="15" hidden="false" customHeight="false" outlineLevel="0" collapsed="false">
      <c r="A70" s="18" t="n">
        <v>69</v>
      </c>
      <c r="B70" s="18" t="s">
        <v>28</v>
      </c>
      <c r="C70" s="18" t="s">
        <v>12</v>
      </c>
      <c r="D70" s="18" t="s">
        <v>15</v>
      </c>
      <c r="E70" s="18"/>
      <c r="F70" s="18" t="s">
        <v>87</v>
      </c>
      <c r="G70" s="18" t="s">
        <v>85</v>
      </c>
      <c r="H70" s="18" t="s">
        <v>83</v>
      </c>
      <c r="I70" s="18"/>
      <c r="J70" s="18" t="s">
        <v>56</v>
      </c>
      <c r="K70" s="18" t="s">
        <v>56</v>
      </c>
      <c r="L70" s="18"/>
    </row>
    <row r="71" customFormat="false" ht="15" hidden="false" customHeight="false" outlineLevel="0" collapsed="false">
      <c r="A71" s="18" t="n">
        <v>70</v>
      </c>
      <c r="B71" s="18" t="s">
        <v>45</v>
      </c>
      <c r="C71" s="18" t="s">
        <v>13</v>
      </c>
      <c r="D71" s="18" t="s">
        <v>16</v>
      </c>
      <c r="E71" s="18" t="s">
        <v>82</v>
      </c>
      <c r="F71" s="18" t="s">
        <v>82</v>
      </c>
      <c r="G71" s="18"/>
      <c r="H71" s="18" t="s">
        <v>86</v>
      </c>
      <c r="I71" s="18" t="s">
        <v>84</v>
      </c>
      <c r="J71" s="18"/>
      <c r="K71" s="18" t="s">
        <v>57</v>
      </c>
      <c r="L71" s="18" t="s">
        <v>56</v>
      </c>
    </row>
    <row r="72" customFormat="false" ht="15" hidden="false" customHeight="false" outlineLevel="0" collapsed="false">
      <c r="A72" s="18" t="n">
        <v>71</v>
      </c>
      <c r="B72" s="18" t="s">
        <v>40</v>
      </c>
      <c r="C72" s="18" t="s">
        <v>13</v>
      </c>
      <c r="D72" s="18" t="s">
        <v>15</v>
      </c>
      <c r="E72" s="18" t="s">
        <v>82</v>
      </c>
      <c r="F72" s="18" t="s">
        <v>82</v>
      </c>
      <c r="G72" s="18" t="s">
        <v>84</v>
      </c>
      <c r="H72" s="18" t="s">
        <v>85</v>
      </c>
      <c r="I72" s="18" t="s">
        <v>83</v>
      </c>
      <c r="J72" s="18" t="s">
        <v>56</v>
      </c>
      <c r="K72" s="18" t="s">
        <v>56</v>
      </c>
      <c r="L72" s="18" t="s">
        <v>56</v>
      </c>
    </row>
    <row r="73" customFormat="false" ht="15" hidden="false" customHeight="false" outlineLevel="0" collapsed="false">
      <c r="A73" s="18" t="n">
        <v>72</v>
      </c>
      <c r="B73" s="18" t="s">
        <v>34</v>
      </c>
      <c r="C73" s="18" t="s">
        <v>12</v>
      </c>
      <c r="D73" s="18" t="s">
        <v>16</v>
      </c>
      <c r="E73" s="18" t="s">
        <v>82</v>
      </c>
      <c r="F73" s="18"/>
      <c r="G73" s="18"/>
      <c r="H73" s="18"/>
      <c r="I73" s="18" t="s">
        <v>84</v>
      </c>
      <c r="J73" s="18"/>
      <c r="K73" s="18"/>
      <c r="L73" s="18" t="s">
        <v>56</v>
      </c>
    </row>
    <row r="74" customFormat="false" ht="15" hidden="false" customHeight="false" outlineLevel="0" collapsed="false">
      <c r="A74" s="18" t="n">
        <v>73</v>
      </c>
      <c r="B74" s="18" t="s">
        <v>44</v>
      </c>
      <c r="C74" s="18" t="s">
        <v>13</v>
      </c>
      <c r="D74" s="18" t="s">
        <v>16</v>
      </c>
      <c r="E74" s="18"/>
      <c r="F74" s="18"/>
      <c r="G74" s="18"/>
      <c r="H74" s="18"/>
      <c r="I74" s="18"/>
      <c r="J74" s="18"/>
      <c r="K74" s="18"/>
      <c r="L74" s="18"/>
    </row>
    <row r="75" customFormat="false" ht="15" hidden="false" customHeight="false" outlineLevel="0" collapsed="false">
      <c r="A75" s="18" t="n">
        <v>74</v>
      </c>
      <c r="B75" s="18" t="s">
        <v>39</v>
      </c>
      <c r="C75" s="18" t="s">
        <v>13</v>
      </c>
      <c r="D75" s="18" t="s">
        <v>17</v>
      </c>
      <c r="E75" s="18"/>
      <c r="F75" s="18"/>
      <c r="G75" s="18" t="s">
        <v>83</v>
      </c>
      <c r="H75" s="18"/>
      <c r="I75" s="18"/>
      <c r="J75" s="18" t="s">
        <v>56</v>
      </c>
      <c r="K75" s="18"/>
      <c r="L75" s="18"/>
    </row>
    <row r="76" customFormat="false" ht="15" hidden="false" customHeight="false" outlineLevel="0" collapsed="false">
      <c r="A76" s="18" t="n">
        <v>75</v>
      </c>
      <c r="B76" s="18" t="s">
        <v>33</v>
      </c>
      <c r="C76" s="18" t="s">
        <v>12</v>
      </c>
      <c r="D76" s="18" t="s">
        <v>16</v>
      </c>
      <c r="E76" s="18" t="s">
        <v>82</v>
      </c>
      <c r="F76" s="18" t="s">
        <v>82</v>
      </c>
      <c r="G76" s="18" t="s">
        <v>83</v>
      </c>
      <c r="H76" s="18" t="s">
        <v>83</v>
      </c>
      <c r="I76" s="18" t="s">
        <v>83</v>
      </c>
      <c r="J76" s="18" t="s">
        <v>52</v>
      </c>
      <c r="K76" s="18" t="s">
        <v>51</v>
      </c>
      <c r="L76" s="18" t="s">
        <v>54</v>
      </c>
    </row>
    <row r="77" customFormat="false" ht="15" hidden="false" customHeight="false" outlineLevel="0" collapsed="false">
      <c r="A77" s="18" t="n">
        <v>76</v>
      </c>
      <c r="B77" s="18" t="s">
        <v>36</v>
      </c>
      <c r="C77" s="18" t="s">
        <v>12</v>
      </c>
      <c r="D77" s="18" t="s">
        <v>16</v>
      </c>
      <c r="E77" s="18" t="s">
        <v>82</v>
      </c>
      <c r="F77" s="18" t="s">
        <v>82</v>
      </c>
      <c r="G77" s="18" t="s">
        <v>83</v>
      </c>
      <c r="H77" s="18" t="s">
        <v>83</v>
      </c>
      <c r="I77" s="18" t="s">
        <v>83</v>
      </c>
      <c r="J77" s="18" t="s">
        <v>55</v>
      </c>
      <c r="K77" s="18" t="s">
        <v>54</v>
      </c>
      <c r="L77" s="18" t="s">
        <v>55</v>
      </c>
    </row>
    <row r="78" customFormat="false" ht="15" hidden="false" customHeight="false" outlineLevel="0" collapsed="false">
      <c r="A78" s="18" t="n">
        <v>77</v>
      </c>
      <c r="B78" s="18" t="s">
        <v>42</v>
      </c>
      <c r="C78" s="18" t="s">
        <v>13</v>
      </c>
      <c r="D78" s="18" t="s">
        <v>16</v>
      </c>
      <c r="E78" s="18" t="s">
        <v>82</v>
      </c>
      <c r="F78" s="18" t="s">
        <v>82</v>
      </c>
      <c r="G78" s="18" t="s">
        <v>83</v>
      </c>
      <c r="H78" s="18" t="s">
        <v>83</v>
      </c>
      <c r="I78" s="18" t="s">
        <v>83</v>
      </c>
      <c r="J78" s="18" t="s">
        <v>53</v>
      </c>
      <c r="K78" s="18" t="s">
        <v>55</v>
      </c>
      <c r="L78" s="18" t="s">
        <v>53</v>
      </c>
    </row>
    <row r="79" customFormat="false" ht="15" hidden="false" customHeight="false" outlineLevel="0" collapsed="false">
      <c r="A79" s="18" t="n">
        <v>78</v>
      </c>
      <c r="B79" s="18" t="s">
        <v>37</v>
      </c>
      <c r="C79" s="18" t="s">
        <v>12</v>
      </c>
      <c r="D79" s="18" t="s">
        <v>16</v>
      </c>
      <c r="E79" s="18"/>
      <c r="F79" s="18" t="s">
        <v>87</v>
      </c>
      <c r="G79" s="18" t="s">
        <v>85</v>
      </c>
      <c r="H79" s="18" t="s">
        <v>83</v>
      </c>
      <c r="I79" s="18"/>
      <c r="J79" s="18" t="s">
        <v>55</v>
      </c>
      <c r="K79" s="18" t="s">
        <v>56</v>
      </c>
      <c r="L79" s="18"/>
    </row>
    <row r="80" customFormat="false" ht="15" hidden="false" customHeight="false" outlineLevel="0" collapsed="false">
      <c r="A80" s="18" t="n">
        <v>79</v>
      </c>
      <c r="B80" s="18" t="s">
        <v>30</v>
      </c>
      <c r="C80" s="18" t="s">
        <v>12</v>
      </c>
      <c r="D80" s="18" t="s">
        <v>15</v>
      </c>
      <c r="E80" s="18"/>
      <c r="F80" s="18" t="s">
        <v>87</v>
      </c>
      <c r="G80" s="18" t="s">
        <v>83</v>
      </c>
      <c r="H80" s="18" t="s">
        <v>83</v>
      </c>
      <c r="I80" s="18"/>
      <c r="J80" s="18" t="s">
        <v>56</v>
      </c>
      <c r="K80" s="18" t="s">
        <v>56</v>
      </c>
      <c r="L80" s="18"/>
    </row>
    <row r="81" customFormat="false" ht="15" hidden="false" customHeight="false" outlineLevel="0" collapsed="false">
      <c r="A81" s="18" t="n">
        <v>80</v>
      </c>
      <c r="B81" s="18" t="s">
        <v>42</v>
      </c>
      <c r="C81" s="18" t="s">
        <v>13</v>
      </c>
      <c r="D81" s="18" t="s">
        <v>16</v>
      </c>
      <c r="E81" s="18"/>
      <c r="F81" s="18"/>
      <c r="G81" s="18"/>
      <c r="H81" s="18"/>
      <c r="I81" s="18"/>
      <c r="J81" s="18"/>
      <c r="K81" s="18"/>
      <c r="L81" s="18"/>
    </row>
    <row r="82" customFormat="false" ht="15" hidden="false" customHeight="false" outlineLevel="0" collapsed="false">
      <c r="A82" s="18" t="n">
        <v>81</v>
      </c>
      <c r="B82" s="18" t="s">
        <v>35</v>
      </c>
      <c r="C82" s="18" t="s">
        <v>12</v>
      </c>
      <c r="D82" s="18" t="s">
        <v>16</v>
      </c>
      <c r="E82" s="18" t="s">
        <v>82</v>
      </c>
      <c r="F82" s="18" t="s">
        <v>82</v>
      </c>
      <c r="G82" s="18" t="s">
        <v>84</v>
      </c>
      <c r="H82" s="18" t="s">
        <v>85</v>
      </c>
      <c r="I82" s="18" t="s">
        <v>83</v>
      </c>
      <c r="J82" s="18" t="s">
        <v>56</v>
      </c>
      <c r="K82" s="18" t="s">
        <v>54</v>
      </c>
      <c r="L82" s="18" t="s">
        <v>52</v>
      </c>
    </row>
    <row r="83" customFormat="false" ht="15" hidden="false" customHeight="false" outlineLevel="0" collapsed="false">
      <c r="A83" s="18" t="n">
        <v>82</v>
      </c>
      <c r="B83" s="18" t="s">
        <v>26</v>
      </c>
      <c r="C83" s="18" t="s">
        <v>12</v>
      </c>
      <c r="D83" s="18" t="s">
        <v>15</v>
      </c>
      <c r="E83" s="18" t="s">
        <v>82</v>
      </c>
      <c r="F83" s="18" t="s">
        <v>82</v>
      </c>
      <c r="G83" s="18"/>
      <c r="H83" s="18" t="s">
        <v>86</v>
      </c>
      <c r="I83" s="18" t="s">
        <v>84</v>
      </c>
      <c r="J83" s="18"/>
      <c r="K83" s="18" t="s">
        <v>57</v>
      </c>
      <c r="L83" s="18" t="s">
        <v>56</v>
      </c>
    </row>
    <row r="84" customFormat="false" ht="15" hidden="false" customHeight="false" outlineLevel="0" collapsed="false">
      <c r="A84" s="18" t="n">
        <v>83</v>
      </c>
      <c r="B84" s="18" t="s">
        <v>33</v>
      </c>
      <c r="C84" s="18" t="s">
        <v>12</v>
      </c>
      <c r="D84" s="18" t="s">
        <v>16</v>
      </c>
      <c r="E84" s="18" t="s">
        <v>82</v>
      </c>
      <c r="F84" s="18" t="s">
        <v>82</v>
      </c>
      <c r="G84" s="18"/>
      <c r="H84" s="18" t="s">
        <v>86</v>
      </c>
      <c r="I84" s="18" t="s">
        <v>84</v>
      </c>
      <c r="J84" s="18"/>
      <c r="K84" s="18" t="s">
        <v>57</v>
      </c>
      <c r="L84" s="18" t="s">
        <v>56</v>
      </c>
    </row>
    <row r="85" customFormat="false" ht="15" hidden="false" customHeight="false" outlineLevel="0" collapsed="false">
      <c r="A85" s="18" t="n">
        <v>84</v>
      </c>
      <c r="B85" s="18" t="s">
        <v>41</v>
      </c>
      <c r="C85" s="18" t="s">
        <v>13</v>
      </c>
      <c r="D85" s="18" t="s">
        <v>16</v>
      </c>
      <c r="E85" s="18" t="s">
        <v>82</v>
      </c>
      <c r="F85" s="18" t="s">
        <v>82</v>
      </c>
      <c r="G85" s="18" t="s">
        <v>86</v>
      </c>
      <c r="H85" s="18" t="s">
        <v>84</v>
      </c>
      <c r="I85" s="18" t="s">
        <v>85</v>
      </c>
      <c r="J85" s="18" t="s">
        <v>57</v>
      </c>
      <c r="K85" s="18" t="s">
        <v>55</v>
      </c>
      <c r="L85" s="18" t="s">
        <v>55</v>
      </c>
    </row>
    <row r="86" customFormat="false" ht="15" hidden="false" customHeight="false" outlineLevel="0" collapsed="false">
      <c r="A86" s="18" t="n">
        <v>85</v>
      </c>
      <c r="B86" s="18" t="s">
        <v>29</v>
      </c>
      <c r="C86" s="18" t="s">
        <v>12</v>
      </c>
      <c r="D86" s="18" t="s">
        <v>15</v>
      </c>
      <c r="E86" s="18"/>
      <c r="F86" s="18"/>
      <c r="G86" s="18"/>
      <c r="H86" s="18"/>
      <c r="I86" s="18"/>
      <c r="J86" s="18"/>
      <c r="K86" s="18"/>
      <c r="L86" s="18"/>
    </row>
    <row r="87" customFormat="false" ht="15" hidden="false" customHeight="false" outlineLevel="0" collapsed="false">
      <c r="A87" s="18" t="n">
        <v>86</v>
      </c>
      <c r="B87" s="18" t="s">
        <v>34</v>
      </c>
      <c r="C87" s="18" t="s">
        <v>12</v>
      </c>
      <c r="D87" s="18" t="s">
        <v>16</v>
      </c>
      <c r="E87" s="18" t="s">
        <v>82</v>
      </c>
      <c r="F87" s="18" t="s">
        <v>82</v>
      </c>
      <c r="G87" s="18"/>
      <c r="H87" s="18" t="s">
        <v>84</v>
      </c>
      <c r="I87" s="18" t="s">
        <v>85</v>
      </c>
      <c r="J87" s="18"/>
      <c r="K87" s="18" t="s">
        <v>56</v>
      </c>
      <c r="L87" s="18" t="s">
        <v>55</v>
      </c>
    </row>
    <row r="88" customFormat="false" ht="15" hidden="false" customHeight="false" outlineLevel="0" collapsed="false">
      <c r="A88" s="18" t="n">
        <v>87</v>
      </c>
      <c r="B88" s="18" t="s">
        <v>27</v>
      </c>
      <c r="C88" s="18" t="s">
        <v>12</v>
      </c>
      <c r="D88" s="18" t="s">
        <v>15</v>
      </c>
      <c r="E88" s="18" t="s">
        <v>82</v>
      </c>
      <c r="F88" s="18" t="s">
        <v>82</v>
      </c>
      <c r="G88" s="18" t="s">
        <v>83</v>
      </c>
      <c r="H88" s="18" t="s">
        <v>83</v>
      </c>
      <c r="I88" s="18" t="s">
        <v>83</v>
      </c>
      <c r="J88" s="18" t="s">
        <v>56</v>
      </c>
      <c r="K88" s="18" t="s">
        <v>54</v>
      </c>
      <c r="L88" s="18" t="s">
        <v>52</v>
      </c>
    </row>
    <row r="89" customFormat="false" ht="15" hidden="false" customHeight="false" outlineLevel="0" collapsed="false">
      <c r="A89" s="18" t="n">
        <v>88</v>
      </c>
      <c r="B89" s="18" t="s">
        <v>35</v>
      </c>
      <c r="C89" s="18" t="s">
        <v>12</v>
      </c>
      <c r="D89" s="18" t="s">
        <v>16</v>
      </c>
      <c r="E89" s="18" t="s">
        <v>82</v>
      </c>
      <c r="F89" s="18" t="s">
        <v>82</v>
      </c>
      <c r="G89" s="18" t="s">
        <v>83</v>
      </c>
      <c r="H89" s="18" t="s">
        <v>83</v>
      </c>
      <c r="I89" s="18" t="s">
        <v>83</v>
      </c>
      <c r="J89" s="18" t="s">
        <v>52</v>
      </c>
      <c r="K89" s="18" t="s">
        <v>52</v>
      </c>
      <c r="L89" s="18" t="s">
        <v>55</v>
      </c>
    </row>
    <row r="90" customFormat="false" ht="15" hidden="false" customHeight="false" outlineLevel="0" collapsed="false">
      <c r="A90" s="18" t="n">
        <v>89</v>
      </c>
      <c r="B90" s="18" t="s">
        <v>37</v>
      </c>
      <c r="C90" s="18" t="s">
        <v>12</v>
      </c>
      <c r="D90" s="18" t="s">
        <v>16</v>
      </c>
      <c r="E90" s="18" t="s">
        <v>82</v>
      </c>
      <c r="F90" s="18" t="s">
        <v>82</v>
      </c>
      <c r="G90" s="18" t="s">
        <v>83</v>
      </c>
      <c r="H90" s="18" t="s">
        <v>83</v>
      </c>
      <c r="I90" s="18" t="s">
        <v>83</v>
      </c>
      <c r="J90" s="18" t="s">
        <v>54</v>
      </c>
      <c r="K90" s="18" t="s">
        <v>54</v>
      </c>
      <c r="L90" s="18" t="s">
        <v>53</v>
      </c>
    </row>
    <row r="91" customFormat="false" ht="15" hidden="false" customHeight="false" outlineLevel="0" collapsed="false">
      <c r="A91" s="18" t="n">
        <v>90</v>
      </c>
      <c r="B91" s="18" t="s">
        <v>29</v>
      </c>
      <c r="C91" s="18" t="s">
        <v>12</v>
      </c>
      <c r="D91" s="18" t="s">
        <v>15</v>
      </c>
      <c r="E91" s="18" t="s">
        <v>82</v>
      </c>
      <c r="F91" s="18" t="s">
        <v>82</v>
      </c>
      <c r="G91" s="18"/>
      <c r="H91" s="18" t="s">
        <v>84</v>
      </c>
      <c r="I91" s="18" t="s">
        <v>85</v>
      </c>
      <c r="J91" s="18"/>
      <c r="K91" s="18" t="s">
        <v>56</v>
      </c>
      <c r="L91" s="18" t="s">
        <v>54</v>
      </c>
    </row>
    <row r="92" customFormat="false" ht="15" hidden="false" customHeight="false" outlineLevel="0" collapsed="false">
      <c r="A92" s="18" t="n">
        <v>91</v>
      </c>
      <c r="B92" s="18" t="s">
        <v>43</v>
      </c>
      <c r="C92" s="18" t="s">
        <v>13</v>
      </c>
      <c r="D92" s="18" t="s">
        <v>16</v>
      </c>
      <c r="E92" s="18"/>
      <c r="F92" s="18"/>
      <c r="G92" s="18"/>
      <c r="H92" s="18"/>
      <c r="I92" s="18"/>
      <c r="J92" s="18"/>
      <c r="K92" s="18"/>
      <c r="L92" s="18"/>
    </row>
    <row r="93" customFormat="false" ht="15" hidden="false" customHeight="false" outlineLevel="0" collapsed="false">
      <c r="A93" s="18" t="n">
        <v>92</v>
      </c>
      <c r="B93" s="18" t="s">
        <v>32</v>
      </c>
      <c r="C93" s="18" t="s">
        <v>12</v>
      </c>
      <c r="D93" s="18" t="s">
        <v>16</v>
      </c>
      <c r="E93" s="18" t="s">
        <v>82</v>
      </c>
      <c r="F93" s="18" t="s">
        <v>82</v>
      </c>
      <c r="G93" s="18" t="s">
        <v>83</v>
      </c>
      <c r="H93" s="18" t="s">
        <v>83</v>
      </c>
      <c r="I93" s="18" t="s">
        <v>83</v>
      </c>
      <c r="J93" s="18" t="s">
        <v>55</v>
      </c>
      <c r="K93" s="18" t="s">
        <v>52</v>
      </c>
      <c r="L93" s="18" t="s">
        <v>54</v>
      </c>
    </row>
    <row r="94" customFormat="false" ht="15" hidden="false" customHeight="false" outlineLevel="0" collapsed="false">
      <c r="A94" s="18" t="n">
        <v>93</v>
      </c>
      <c r="B94" s="18" t="s">
        <v>26</v>
      </c>
      <c r="C94" s="18" t="s">
        <v>12</v>
      </c>
      <c r="D94" s="18" t="s">
        <v>15</v>
      </c>
      <c r="E94" s="18" t="s">
        <v>82</v>
      </c>
      <c r="F94" s="18" t="s">
        <v>82</v>
      </c>
      <c r="G94" s="18"/>
      <c r="H94" s="18" t="s">
        <v>86</v>
      </c>
      <c r="I94" s="18" t="s">
        <v>84</v>
      </c>
      <c r="J94" s="18"/>
      <c r="K94" s="18" t="s">
        <v>57</v>
      </c>
      <c r="L94" s="18" t="s">
        <v>56</v>
      </c>
    </row>
    <row r="95" customFormat="false" ht="15" hidden="false" customHeight="false" outlineLevel="0" collapsed="false">
      <c r="A95" s="18" t="n">
        <v>94</v>
      </c>
      <c r="B95" s="18" t="s">
        <v>32</v>
      </c>
      <c r="C95" s="18" t="s">
        <v>12</v>
      </c>
      <c r="D95" s="18" t="s">
        <v>16</v>
      </c>
      <c r="E95" s="18" t="s">
        <v>82</v>
      </c>
      <c r="F95" s="18" t="s">
        <v>82</v>
      </c>
      <c r="G95" s="18" t="s">
        <v>83</v>
      </c>
      <c r="H95" s="18" t="s">
        <v>83</v>
      </c>
      <c r="I95" s="18" t="s">
        <v>83</v>
      </c>
      <c r="J95" s="18" t="s">
        <v>53</v>
      </c>
      <c r="K95" s="18" t="s">
        <v>53</v>
      </c>
      <c r="L95" s="18" t="s">
        <v>53</v>
      </c>
    </row>
    <row r="96" customFormat="false" ht="15" hidden="false" customHeight="false" outlineLevel="0" collapsed="false">
      <c r="A96" s="18" t="n">
        <v>95</v>
      </c>
      <c r="B96" s="18" t="s">
        <v>44</v>
      </c>
      <c r="C96" s="18" t="s">
        <v>13</v>
      </c>
      <c r="D96" s="18" t="s">
        <v>16</v>
      </c>
      <c r="E96" s="18" t="s">
        <v>82</v>
      </c>
      <c r="F96" s="18" t="s">
        <v>82</v>
      </c>
      <c r="G96" s="18" t="s">
        <v>85</v>
      </c>
      <c r="H96" s="18" t="s">
        <v>83</v>
      </c>
      <c r="I96" s="18" t="s">
        <v>83</v>
      </c>
      <c r="J96" s="18" t="s">
        <v>55</v>
      </c>
      <c r="K96" s="18" t="s">
        <v>53</v>
      </c>
      <c r="L96" s="18" t="s">
        <v>53</v>
      </c>
    </row>
    <row r="97" customFormat="false" ht="15" hidden="false" customHeight="false" outlineLevel="0" collapsed="false">
      <c r="A97" s="18" t="n">
        <v>96</v>
      </c>
      <c r="B97" s="18" t="s">
        <v>43</v>
      </c>
      <c r="C97" s="18" t="s">
        <v>13</v>
      </c>
      <c r="D97" s="18" t="s">
        <v>16</v>
      </c>
      <c r="E97" s="18" t="s">
        <v>82</v>
      </c>
      <c r="F97" s="18" t="s">
        <v>82</v>
      </c>
      <c r="G97" s="18" t="s">
        <v>83</v>
      </c>
      <c r="H97" s="18" t="s">
        <v>83</v>
      </c>
      <c r="I97" s="18" t="s">
        <v>83</v>
      </c>
      <c r="J97" s="18" t="s">
        <v>52</v>
      </c>
      <c r="K97" s="18" t="s">
        <v>51</v>
      </c>
      <c r="L97" s="18" t="s">
        <v>51</v>
      </c>
    </row>
    <row r="98" customFormat="false" ht="15" hidden="false" customHeight="false" outlineLevel="0" collapsed="false">
      <c r="A98" s="18" t="n">
        <v>97</v>
      </c>
      <c r="B98" s="18" t="s">
        <v>41</v>
      </c>
      <c r="C98" s="18" t="s">
        <v>13</v>
      </c>
      <c r="D98" s="18" t="s">
        <v>16</v>
      </c>
      <c r="E98" s="18" t="s">
        <v>82</v>
      </c>
      <c r="F98" s="18" t="s">
        <v>82</v>
      </c>
      <c r="G98" s="18" t="s">
        <v>83</v>
      </c>
      <c r="H98" s="18" t="s">
        <v>83</v>
      </c>
      <c r="I98" s="18" t="s">
        <v>83</v>
      </c>
      <c r="J98" s="18" t="s">
        <v>53</v>
      </c>
      <c r="K98" s="18" t="s">
        <v>52</v>
      </c>
      <c r="L98" s="18" t="s">
        <v>52</v>
      </c>
    </row>
    <row r="99" customFormat="false" ht="15" hidden="false" customHeight="false" outlineLevel="0" collapsed="false">
      <c r="A99" s="18" t="n">
        <v>98</v>
      </c>
      <c r="B99" s="18" t="s">
        <v>31</v>
      </c>
      <c r="C99" s="18" t="s">
        <v>12</v>
      </c>
      <c r="D99" s="18" t="s">
        <v>15</v>
      </c>
      <c r="E99" s="18" t="s">
        <v>82</v>
      </c>
      <c r="F99" s="18" t="s">
        <v>82</v>
      </c>
      <c r="G99" s="18" t="s">
        <v>83</v>
      </c>
      <c r="H99" s="18" t="s">
        <v>83</v>
      </c>
      <c r="I99" s="18" t="s">
        <v>83</v>
      </c>
      <c r="J99" s="18" t="s">
        <v>51</v>
      </c>
      <c r="K99" s="18" t="s">
        <v>51</v>
      </c>
      <c r="L99" s="18" t="s">
        <v>51</v>
      </c>
    </row>
    <row r="100" customFormat="false" ht="15" hidden="false" customHeight="false" outlineLevel="0" collapsed="false">
      <c r="A100" s="18" t="n">
        <v>99</v>
      </c>
      <c r="B100" s="18" t="s">
        <v>41</v>
      </c>
      <c r="C100" s="18" t="s">
        <v>13</v>
      </c>
      <c r="D100" s="18" t="s">
        <v>16</v>
      </c>
      <c r="E100" s="18" t="s">
        <v>82</v>
      </c>
      <c r="F100" s="18" t="s">
        <v>82</v>
      </c>
      <c r="G100" s="18" t="s">
        <v>83</v>
      </c>
      <c r="H100" s="18" t="s">
        <v>83</v>
      </c>
      <c r="I100" s="18" t="s">
        <v>83</v>
      </c>
      <c r="J100" s="18" t="s">
        <v>55</v>
      </c>
      <c r="K100" s="18" t="s">
        <v>55</v>
      </c>
      <c r="L100" s="18" t="s">
        <v>54</v>
      </c>
    </row>
    <row r="101" customFormat="false" ht="15" hidden="false" customHeight="false" outlineLevel="0" collapsed="false">
      <c r="A101" s="18" t="n">
        <v>100</v>
      </c>
      <c r="B101" s="18" t="s">
        <v>30</v>
      </c>
      <c r="C101" s="18" t="s">
        <v>12</v>
      </c>
      <c r="D101" s="18" t="s">
        <v>15</v>
      </c>
      <c r="E101" s="18" t="s">
        <v>82</v>
      </c>
      <c r="F101" s="18" t="s">
        <v>82</v>
      </c>
      <c r="G101" s="18" t="s">
        <v>83</v>
      </c>
      <c r="H101" s="18" t="s">
        <v>83</v>
      </c>
      <c r="I101" s="18" t="s">
        <v>83</v>
      </c>
      <c r="J101" s="18" t="s">
        <v>54</v>
      </c>
      <c r="K101" s="18" t="s">
        <v>54</v>
      </c>
      <c r="L101" s="18" t="s">
        <v>54</v>
      </c>
    </row>
    <row r="102" customFormat="false" ht="15" hidden="false" customHeight="false" outlineLevel="0" collapsed="false">
      <c r="A102" s="18" t="n">
        <v>101</v>
      </c>
      <c r="B102" s="18" t="s">
        <v>34</v>
      </c>
      <c r="C102" s="18" t="s">
        <v>12</v>
      </c>
      <c r="D102" s="18" t="s">
        <v>16</v>
      </c>
      <c r="E102" s="18" t="s">
        <v>82</v>
      </c>
      <c r="F102" s="18" t="s">
        <v>82</v>
      </c>
      <c r="G102" s="18" t="s">
        <v>83</v>
      </c>
      <c r="H102" s="18" t="s">
        <v>83</v>
      </c>
      <c r="I102" s="18" t="s">
        <v>83</v>
      </c>
      <c r="J102" s="18" t="s">
        <v>56</v>
      </c>
      <c r="K102" s="18" t="s">
        <v>55</v>
      </c>
      <c r="L102" s="18" t="s">
        <v>54</v>
      </c>
    </row>
    <row r="103" customFormat="false" ht="15" hidden="false" customHeight="false" outlineLevel="0" collapsed="false">
      <c r="A103" s="18" t="n">
        <v>102</v>
      </c>
      <c r="B103" s="18" t="s">
        <v>27</v>
      </c>
      <c r="C103" s="18" t="s">
        <v>12</v>
      </c>
      <c r="D103" s="18" t="s">
        <v>15</v>
      </c>
      <c r="E103" s="18" t="s">
        <v>82</v>
      </c>
      <c r="F103" s="18" t="s">
        <v>82</v>
      </c>
      <c r="G103" s="18" t="s">
        <v>83</v>
      </c>
      <c r="H103" s="18" t="s">
        <v>83</v>
      </c>
      <c r="I103" s="18" t="s">
        <v>83</v>
      </c>
      <c r="J103" s="18" t="s">
        <v>53</v>
      </c>
      <c r="K103" s="18" t="s">
        <v>52</v>
      </c>
      <c r="L103" s="18" t="s">
        <v>53</v>
      </c>
    </row>
    <row r="104" customFormat="false" ht="15" hidden="false" customHeight="false" outlineLevel="0" collapsed="false">
      <c r="A104" s="18" t="n">
        <v>103</v>
      </c>
      <c r="B104" s="18" t="s">
        <v>44</v>
      </c>
      <c r="C104" s="18" t="s">
        <v>13</v>
      </c>
      <c r="D104" s="18" t="s">
        <v>16</v>
      </c>
      <c r="E104" s="18" t="s">
        <v>82</v>
      </c>
      <c r="F104" s="18" t="s">
        <v>82</v>
      </c>
      <c r="G104" s="18" t="s">
        <v>85</v>
      </c>
      <c r="H104" s="18" t="s">
        <v>83</v>
      </c>
      <c r="I104" s="18" t="s">
        <v>83</v>
      </c>
      <c r="J104" s="18" t="s">
        <v>54</v>
      </c>
      <c r="K104" s="18" t="s">
        <v>55</v>
      </c>
      <c r="L104" s="18" t="s">
        <v>54</v>
      </c>
    </row>
    <row r="105" customFormat="false" ht="15" hidden="false" customHeight="false" outlineLevel="0" collapsed="false">
      <c r="A105" s="18" t="n">
        <v>104</v>
      </c>
      <c r="B105" s="18" t="s">
        <v>26</v>
      </c>
      <c r="C105" s="18" t="s">
        <v>12</v>
      </c>
      <c r="D105" s="18" t="s">
        <v>15</v>
      </c>
      <c r="E105" s="18" t="s">
        <v>87</v>
      </c>
      <c r="F105" s="18" t="s">
        <v>82</v>
      </c>
      <c r="G105" s="18"/>
      <c r="H105" s="18" t="s">
        <v>86</v>
      </c>
      <c r="I105" s="18" t="s">
        <v>84</v>
      </c>
      <c r="J105" s="18"/>
      <c r="K105" s="18" t="s">
        <v>57</v>
      </c>
      <c r="L105" s="18" t="s">
        <v>56</v>
      </c>
    </row>
    <row r="106" customFormat="false" ht="15" hidden="false" customHeight="false" outlineLevel="0" collapsed="false">
      <c r="A106" s="18" t="n">
        <v>105</v>
      </c>
      <c r="B106" s="18" t="s">
        <v>43</v>
      </c>
      <c r="C106" s="18" t="s">
        <v>13</v>
      </c>
      <c r="D106" s="18" t="s">
        <v>16</v>
      </c>
      <c r="E106" s="18" t="s">
        <v>82</v>
      </c>
      <c r="F106" s="18" t="s">
        <v>82</v>
      </c>
      <c r="G106" s="18" t="s">
        <v>83</v>
      </c>
      <c r="H106" s="18" t="s">
        <v>83</v>
      </c>
      <c r="I106" s="18" t="s">
        <v>83</v>
      </c>
      <c r="J106" s="18" t="s">
        <v>54</v>
      </c>
      <c r="K106" s="18" t="s">
        <v>54</v>
      </c>
      <c r="L106" s="18" t="s">
        <v>54</v>
      </c>
    </row>
    <row r="107" customFormat="false" ht="15" hidden="false" customHeight="false" outlineLevel="0" collapsed="false">
      <c r="A107" s="18" t="n">
        <v>106</v>
      </c>
      <c r="B107" s="18" t="s">
        <v>40</v>
      </c>
      <c r="C107" s="18" t="s">
        <v>13</v>
      </c>
      <c r="D107" s="18" t="s">
        <v>15</v>
      </c>
      <c r="E107" s="18" t="s">
        <v>82</v>
      </c>
      <c r="F107" s="18" t="s">
        <v>82</v>
      </c>
      <c r="G107" s="18" t="s">
        <v>86</v>
      </c>
      <c r="H107" s="18" t="s">
        <v>84</v>
      </c>
      <c r="I107" s="18" t="s">
        <v>85</v>
      </c>
      <c r="J107" s="18" t="s">
        <v>57</v>
      </c>
      <c r="K107" s="18" t="s">
        <v>56</v>
      </c>
      <c r="L107" s="18" t="s">
        <v>56</v>
      </c>
    </row>
    <row r="108" customFormat="false" ht="15" hidden="false" customHeight="false" outlineLevel="0" collapsed="false">
      <c r="A108" s="18" t="n">
        <v>107</v>
      </c>
      <c r="B108" s="18" t="s">
        <v>34</v>
      </c>
      <c r="C108" s="18" t="s">
        <v>12</v>
      </c>
      <c r="D108" s="18" t="s">
        <v>16</v>
      </c>
      <c r="E108" s="18" t="s">
        <v>82</v>
      </c>
      <c r="F108" s="18" t="s">
        <v>82</v>
      </c>
      <c r="G108" s="18" t="s">
        <v>83</v>
      </c>
      <c r="H108" s="18" t="s">
        <v>83</v>
      </c>
      <c r="I108" s="18" t="s">
        <v>83</v>
      </c>
      <c r="J108" s="18" t="s">
        <v>54</v>
      </c>
      <c r="K108" s="18" t="s">
        <v>54</v>
      </c>
      <c r="L108" s="18" t="s">
        <v>56</v>
      </c>
    </row>
    <row r="109" customFormat="false" ht="15" hidden="false" customHeight="false" outlineLevel="0" collapsed="false">
      <c r="A109" s="18" t="n">
        <v>108</v>
      </c>
      <c r="B109" s="18" t="s">
        <v>28</v>
      </c>
      <c r="C109" s="18" t="s">
        <v>12</v>
      </c>
      <c r="D109" s="18" t="s">
        <v>15</v>
      </c>
      <c r="E109" s="18"/>
      <c r="F109" s="18" t="s">
        <v>87</v>
      </c>
      <c r="G109" s="18" t="s">
        <v>85</v>
      </c>
      <c r="H109" s="18" t="s">
        <v>83</v>
      </c>
      <c r="I109" s="18"/>
      <c r="J109" s="18" t="s">
        <v>56</v>
      </c>
      <c r="K109" s="18" t="s">
        <v>56</v>
      </c>
      <c r="L109" s="18"/>
    </row>
    <row r="110" customFormat="false" ht="15" hidden="false" customHeight="false" outlineLevel="0" collapsed="false">
      <c r="A110" s="18" t="n">
        <v>109</v>
      </c>
      <c r="B110" s="18" t="s">
        <v>25</v>
      </c>
      <c r="C110" s="18" t="s">
        <v>12</v>
      </c>
      <c r="D110" s="18" t="s">
        <v>15</v>
      </c>
      <c r="E110" s="18" t="s">
        <v>82</v>
      </c>
      <c r="F110" s="18" t="s">
        <v>82</v>
      </c>
      <c r="G110" s="18" t="s">
        <v>86</v>
      </c>
      <c r="H110" s="18" t="s">
        <v>84</v>
      </c>
      <c r="I110" s="18" t="s">
        <v>85</v>
      </c>
      <c r="J110" s="18" t="s">
        <v>57</v>
      </c>
      <c r="K110" s="18" t="s">
        <v>56</v>
      </c>
      <c r="L110" s="18" t="s">
        <v>56</v>
      </c>
    </row>
    <row r="111" customFormat="false" ht="15" hidden="false" customHeight="false" outlineLevel="0" collapsed="false">
      <c r="A111" s="18" t="n">
        <v>110</v>
      </c>
      <c r="B111" s="18" t="s">
        <v>45</v>
      </c>
      <c r="C111" s="18" t="s">
        <v>13</v>
      </c>
      <c r="D111" s="18" t="s">
        <v>16</v>
      </c>
      <c r="E111" s="18" t="s">
        <v>82</v>
      </c>
      <c r="F111" s="18" t="s">
        <v>82</v>
      </c>
      <c r="G111" s="18" t="s">
        <v>83</v>
      </c>
      <c r="H111" s="18" t="s">
        <v>83</v>
      </c>
      <c r="I111" s="18" t="s">
        <v>83</v>
      </c>
      <c r="J111" s="18" t="s">
        <v>52</v>
      </c>
      <c r="K111" s="18" t="s">
        <v>52</v>
      </c>
      <c r="L111" s="18" t="s">
        <v>53</v>
      </c>
    </row>
    <row r="112" customFormat="false" ht="15" hidden="false" customHeight="false" outlineLevel="0" collapsed="false">
      <c r="A112" s="18" t="n">
        <v>111</v>
      </c>
      <c r="B112" s="18" t="s">
        <v>25</v>
      </c>
      <c r="C112" s="18" t="s">
        <v>12</v>
      </c>
      <c r="D112" s="18" t="s">
        <v>15</v>
      </c>
      <c r="E112" s="18"/>
      <c r="F112" s="18"/>
      <c r="G112" s="18"/>
      <c r="H112" s="18"/>
      <c r="I112" s="18"/>
      <c r="J112" s="18"/>
      <c r="K112" s="18"/>
      <c r="L112" s="18"/>
    </row>
    <row r="113" customFormat="false" ht="15" hidden="false" customHeight="false" outlineLevel="0" collapsed="false">
      <c r="A113" s="18" t="n">
        <v>112</v>
      </c>
      <c r="B113" s="18" t="s">
        <v>40</v>
      </c>
      <c r="C113" s="18" t="s">
        <v>13</v>
      </c>
      <c r="D113" s="18" t="s">
        <v>15</v>
      </c>
      <c r="E113" s="18"/>
      <c r="F113" s="18" t="s">
        <v>87</v>
      </c>
      <c r="G113" s="18" t="s">
        <v>84</v>
      </c>
      <c r="H113" s="18" t="s">
        <v>85</v>
      </c>
      <c r="I113" s="18"/>
      <c r="J113" s="18" t="s">
        <v>56</v>
      </c>
      <c r="K113" s="18" t="s">
        <v>56</v>
      </c>
      <c r="L113" s="18"/>
    </row>
    <row r="114" customFormat="false" ht="15" hidden="false" customHeight="false" outlineLevel="0" collapsed="false">
      <c r="A114" s="18" t="n">
        <v>113</v>
      </c>
      <c r="B114" s="18" t="s">
        <v>28</v>
      </c>
      <c r="C114" s="18" t="s">
        <v>12</v>
      </c>
      <c r="D114" s="18" t="s">
        <v>15</v>
      </c>
      <c r="E114" s="18" t="s">
        <v>82</v>
      </c>
      <c r="F114" s="18" t="s">
        <v>82</v>
      </c>
      <c r="G114" s="18" t="s">
        <v>83</v>
      </c>
      <c r="H114" s="18" t="s">
        <v>83</v>
      </c>
      <c r="I114" s="18" t="s">
        <v>83</v>
      </c>
      <c r="J114" s="18" t="s">
        <v>53</v>
      </c>
      <c r="K114" s="18" t="s">
        <v>52</v>
      </c>
      <c r="L114" s="18" t="s">
        <v>53</v>
      </c>
    </row>
    <row r="115" customFormat="false" ht="15" hidden="false" customHeight="false" outlineLevel="0" collapsed="false">
      <c r="A115" s="18" t="n">
        <v>114</v>
      </c>
      <c r="B115" s="18" t="s">
        <v>36</v>
      </c>
      <c r="C115" s="18" t="s">
        <v>12</v>
      </c>
      <c r="D115" s="18" t="s">
        <v>16</v>
      </c>
      <c r="E115" s="18" t="s">
        <v>82</v>
      </c>
      <c r="F115" s="18" t="s">
        <v>82</v>
      </c>
      <c r="G115" s="18" t="s">
        <v>83</v>
      </c>
      <c r="H115" s="18" t="s">
        <v>83</v>
      </c>
      <c r="I115" s="18" t="s">
        <v>83</v>
      </c>
      <c r="J115" s="18" t="s">
        <v>56</v>
      </c>
      <c r="K115" s="18" t="s">
        <v>56</v>
      </c>
      <c r="L115" s="18" t="s">
        <v>56</v>
      </c>
    </row>
    <row r="116" customFormat="false" ht="15" hidden="false" customHeight="false" outlineLevel="0" collapsed="false">
      <c r="A116" s="18" t="n">
        <v>115</v>
      </c>
      <c r="B116" s="18" t="s">
        <v>42</v>
      </c>
      <c r="C116" s="18" t="s">
        <v>13</v>
      </c>
      <c r="D116" s="18" t="s">
        <v>16</v>
      </c>
      <c r="E116" s="18" t="s">
        <v>82</v>
      </c>
      <c r="F116" s="18" t="s">
        <v>82</v>
      </c>
      <c r="G116" s="18" t="s">
        <v>83</v>
      </c>
      <c r="H116" s="18" t="s">
        <v>83</v>
      </c>
      <c r="I116" s="18" t="s">
        <v>83</v>
      </c>
      <c r="J116" s="18" t="s">
        <v>53</v>
      </c>
      <c r="K116" s="18" t="s">
        <v>55</v>
      </c>
      <c r="L116" s="18" t="s">
        <v>56</v>
      </c>
    </row>
    <row r="117" customFormat="false" ht="15" hidden="false" customHeight="false" outlineLevel="0" collapsed="false">
      <c r="A117" s="18" t="n">
        <v>116</v>
      </c>
      <c r="B117" s="18" t="s">
        <v>29</v>
      </c>
      <c r="C117" s="18" t="s">
        <v>12</v>
      </c>
      <c r="D117" s="18" t="s">
        <v>15</v>
      </c>
      <c r="E117" s="18"/>
      <c r="F117" s="18" t="s">
        <v>82</v>
      </c>
      <c r="G117" s="18" t="s">
        <v>83</v>
      </c>
      <c r="H117" s="18" t="s">
        <v>83</v>
      </c>
      <c r="I117" s="18"/>
      <c r="J117" s="18" t="s">
        <v>52</v>
      </c>
      <c r="K117" s="18" t="s">
        <v>56</v>
      </c>
      <c r="L117" s="18"/>
    </row>
    <row r="118" customFormat="false" ht="15" hidden="false" customHeight="false" outlineLevel="0" collapsed="false">
      <c r="A118" s="18" t="n">
        <v>117</v>
      </c>
      <c r="B118" s="18" t="s">
        <v>41</v>
      </c>
      <c r="C118" s="18" t="s">
        <v>13</v>
      </c>
      <c r="D118" s="18" t="s">
        <v>16</v>
      </c>
      <c r="E118" s="18" t="s">
        <v>82</v>
      </c>
      <c r="F118" s="18" t="s">
        <v>82</v>
      </c>
      <c r="G118" s="18" t="s">
        <v>83</v>
      </c>
      <c r="H118" s="18" t="s">
        <v>83</v>
      </c>
      <c r="I118" s="18" t="s">
        <v>83</v>
      </c>
      <c r="J118" s="18" t="s">
        <v>53</v>
      </c>
      <c r="K118" s="18" t="s">
        <v>56</v>
      </c>
      <c r="L118" s="18" t="s">
        <v>54</v>
      </c>
    </row>
    <row r="119" customFormat="false" ht="15" hidden="false" customHeight="false" outlineLevel="0" collapsed="false">
      <c r="A119" s="18" t="n">
        <v>118</v>
      </c>
      <c r="B119" s="18" t="s">
        <v>40</v>
      </c>
      <c r="C119" s="18" t="s">
        <v>13</v>
      </c>
      <c r="D119" s="18" t="s">
        <v>15</v>
      </c>
      <c r="E119" s="18" t="s">
        <v>82</v>
      </c>
      <c r="F119" s="18" t="s">
        <v>82</v>
      </c>
      <c r="G119" s="18" t="s">
        <v>86</v>
      </c>
      <c r="H119" s="18" t="s">
        <v>84</v>
      </c>
      <c r="I119" s="18" t="s">
        <v>85</v>
      </c>
      <c r="J119" s="18" t="s">
        <v>57</v>
      </c>
      <c r="K119" s="18" t="s">
        <v>56</v>
      </c>
      <c r="L119" s="18" t="s">
        <v>56</v>
      </c>
    </row>
    <row r="120" customFormat="false" ht="15" hidden="false" customHeight="false" outlineLevel="0" collapsed="false">
      <c r="A120" s="18" t="n">
        <v>119</v>
      </c>
      <c r="B120" s="18" t="s">
        <v>41</v>
      </c>
      <c r="C120" s="18" t="s">
        <v>13</v>
      </c>
      <c r="D120" s="18" t="s">
        <v>16</v>
      </c>
      <c r="E120" s="18"/>
      <c r="F120" s="18"/>
      <c r="G120" s="18" t="s">
        <v>83</v>
      </c>
      <c r="H120" s="18"/>
      <c r="I120" s="18"/>
      <c r="J120" s="18" t="s">
        <v>56</v>
      </c>
      <c r="K120" s="18"/>
      <c r="L120" s="18"/>
    </row>
    <row r="121" customFormat="false" ht="15" hidden="false" customHeight="false" outlineLevel="0" collapsed="false">
      <c r="A121" s="18" t="n">
        <v>120</v>
      </c>
      <c r="B121" s="18" t="s">
        <v>43</v>
      </c>
      <c r="C121" s="18" t="s">
        <v>13</v>
      </c>
      <c r="D121" s="18" t="s">
        <v>16</v>
      </c>
      <c r="E121" s="18" t="s">
        <v>82</v>
      </c>
      <c r="F121" s="18" t="s">
        <v>82</v>
      </c>
      <c r="G121" s="18" t="s">
        <v>83</v>
      </c>
      <c r="H121" s="18" t="s">
        <v>83</v>
      </c>
      <c r="I121" s="18" t="s">
        <v>83</v>
      </c>
      <c r="J121" s="18" t="s">
        <v>54</v>
      </c>
      <c r="K121" s="18" t="s">
        <v>54</v>
      </c>
      <c r="L121" s="18" t="s">
        <v>55</v>
      </c>
    </row>
    <row r="122" customFormat="false" ht="15" hidden="false" customHeight="false" outlineLevel="0" collapsed="false">
      <c r="A122" s="18" t="n">
        <v>121</v>
      </c>
      <c r="B122" s="18" t="s">
        <v>29</v>
      </c>
      <c r="C122" s="18" t="s">
        <v>12</v>
      </c>
      <c r="D122" s="18" t="s">
        <v>15</v>
      </c>
      <c r="E122" s="18"/>
      <c r="F122" s="18" t="s">
        <v>87</v>
      </c>
      <c r="G122" s="18" t="s">
        <v>85</v>
      </c>
      <c r="H122" s="18" t="s">
        <v>83</v>
      </c>
      <c r="I122" s="18"/>
      <c r="J122" s="18" t="s">
        <v>56</v>
      </c>
      <c r="K122" s="18" t="s">
        <v>56</v>
      </c>
      <c r="L122" s="18"/>
    </row>
    <row r="123" customFormat="false" ht="15" hidden="false" customHeight="false" outlineLevel="0" collapsed="false">
      <c r="A123" s="18" t="n">
        <v>122</v>
      </c>
      <c r="B123" s="18" t="s">
        <v>40</v>
      </c>
      <c r="C123" s="18" t="s">
        <v>13</v>
      </c>
      <c r="D123" s="18" t="s">
        <v>15</v>
      </c>
      <c r="E123" s="18" t="s">
        <v>82</v>
      </c>
      <c r="F123" s="18" t="s">
        <v>82</v>
      </c>
      <c r="G123" s="18" t="s">
        <v>85</v>
      </c>
      <c r="H123" s="18" t="s">
        <v>83</v>
      </c>
      <c r="I123" s="18" t="s">
        <v>83</v>
      </c>
      <c r="J123" s="18" t="s">
        <v>56</v>
      </c>
      <c r="K123" s="18" t="s">
        <v>56</v>
      </c>
      <c r="L123" s="18" t="s">
        <v>56</v>
      </c>
    </row>
    <row r="124" customFormat="false" ht="15" hidden="false" customHeight="false" outlineLevel="0" collapsed="false">
      <c r="A124" s="18" t="n">
        <v>123</v>
      </c>
      <c r="B124" s="18" t="s">
        <v>40</v>
      </c>
      <c r="C124" s="18" t="s">
        <v>13</v>
      </c>
      <c r="D124" s="18" t="s">
        <v>15</v>
      </c>
      <c r="E124" s="18"/>
      <c r="F124" s="18"/>
      <c r="G124" s="18" t="s">
        <v>83</v>
      </c>
      <c r="H124" s="18"/>
      <c r="I124" s="18"/>
      <c r="J124" s="18" t="s">
        <v>56</v>
      </c>
      <c r="K124" s="18"/>
      <c r="L124" s="18"/>
    </row>
    <row r="125" customFormat="false" ht="15" hidden="false" customHeight="false" outlineLevel="0" collapsed="false">
      <c r="A125" s="18" t="n">
        <v>124</v>
      </c>
      <c r="B125" s="18" t="s">
        <v>26</v>
      </c>
      <c r="C125" s="18" t="s">
        <v>12</v>
      </c>
      <c r="D125" s="18" t="s">
        <v>15</v>
      </c>
      <c r="E125" s="18" t="s">
        <v>82</v>
      </c>
      <c r="F125" s="18" t="s">
        <v>82</v>
      </c>
      <c r="G125" s="18" t="s">
        <v>83</v>
      </c>
      <c r="H125" s="18" t="s">
        <v>83</v>
      </c>
      <c r="I125" s="18" t="s">
        <v>83</v>
      </c>
      <c r="J125" s="18" t="s">
        <v>55</v>
      </c>
      <c r="K125" s="18" t="s">
        <v>54</v>
      </c>
      <c r="L125" s="18" t="s">
        <v>54</v>
      </c>
    </row>
    <row r="126" customFormat="false" ht="15" hidden="false" customHeight="false" outlineLevel="0" collapsed="false">
      <c r="A126" s="18" t="n">
        <v>125</v>
      </c>
      <c r="B126" s="18" t="s">
        <v>35</v>
      </c>
      <c r="C126" s="18" t="s">
        <v>12</v>
      </c>
      <c r="D126" s="18" t="s">
        <v>16</v>
      </c>
      <c r="E126" s="18" t="s">
        <v>82</v>
      </c>
      <c r="F126" s="18" t="s">
        <v>82</v>
      </c>
      <c r="G126" s="18" t="s">
        <v>83</v>
      </c>
      <c r="H126" s="18" t="s">
        <v>83</v>
      </c>
      <c r="I126" s="18" t="s">
        <v>83</v>
      </c>
      <c r="J126" s="18" t="s">
        <v>52</v>
      </c>
      <c r="K126" s="18" t="s">
        <v>53</v>
      </c>
      <c r="L126" s="18" t="s">
        <v>52</v>
      </c>
    </row>
    <row r="127" customFormat="false" ht="15" hidden="false" customHeight="false" outlineLevel="0" collapsed="false">
      <c r="A127" s="18" t="n">
        <v>126</v>
      </c>
      <c r="B127" s="18" t="s">
        <v>27</v>
      </c>
      <c r="C127" s="18" t="s">
        <v>12</v>
      </c>
      <c r="D127" s="18" t="s">
        <v>15</v>
      </c>
      <c r="E127" s="18"/>
      <c r="F127" s="18"/>
      <c r="G127" s="18" t="s">
        <v>83</v>
      </c>
      <c r="H127" s="18"/>
      <c r="I127" s="18"/>
      <c r="J127" s="18" t="s">
        <v>56</v>
      </c>
      <c r="K127" s="18"/>
      <c r="L127" s="18"/>
    </row>
    <row r="128" customFormat="false" ht="15" hidden="false" customHeight="false" outlineLevel="0" collapsed="false">
      <c r="A128" s="18" t="n">
        <v>127</v>
      </c>
      <c r="B128" s="18" t="s">
        <v>33</v>
      </c>
      <c r="C128" s="18" t="s">
        <v>12</v>
      </c>
      <c r="D128" s="18" t="s">
        <v>16</v>
      </c>
      <c r="E128" s="18" t="s">
        <v>82</v>
      </c>
      <c r="F128" s="18" t="s">
        <v>82</v>
      </c>
      <c r="G128" s="18" t="s">
        <v>83</v>
      </c>
      <c r="H128" s="18" t="s">
        <v>83</v>
      </c>
      <c r="I128" s="18" t="s">
        <v>83</v>
      </c>
      <c r="J128" s="18" t="s">
        <v>53</v>
      </c>
      <c r="K128" s="18" t="s">
        <v>52</v>
      </c>
      <c r="L128" s="18" t="s">
        <v>52</v>
      </c>
    </row>
    <row r="129" customFormat="false" ht="15" hidden="false" customHeight="false" outlineLevel="0" collapsed="false">
      <c r="A129" s="18" t="n">
        <v>128</v>
      </c>
      <c r="B129" s="18" t="s">
        <v>40</v>
      </c>
      <c r="C129" s="18" t="s">
        <v>13</v>
      </c>
      <c r="D129" s="18" t="s">
        <v>15</v>
      </c>
      <c r="E129" s="18"/>
      <c r="F129" s="18" t="s">
        <v>87</v>
      </c>
      <c r="G129" s="18" t="s">
        <v>84</v>
      </c>
      <c r="H129" s="18" t="s">
        <v>85</v>
      </c>
      <c r="I129" s="18"/>
      <c r="J129" s="18" t="s">
        <v>56</v>
      </c>
      <c r="K129" s="18" t="s">
        <v>56</v>
      </c>
      <c r="L129" s="18"/>
    </row>
    <row r="130" customFormat="false" ht="15" hidden="false" customHeight="false" outlineLevel="0" collapsed="false">
      <c r="A130" s="18" t="n">
        <v>129</v>
      </c>
      <c r="B130" s="18" t="s">
        <v>28</v>
      </c>
      <c r="C130" s="18" t="s">
        <v>12</v>
      </c>
      <c r="D130" s="18" t="s">
        <v>15</v>
      </c>
      <c r="E130" s="18" t="s">
        <v>82</v>
      </c>
      <c r="F130" s="18" t="s">
        <v>82</v>
      </c>
      <c r="G130" s="18" t="s">
        <v>83</v>
      </c>
      <c r="H130" s="18" t="s">
        <v>83</v>
      </c>
      <c r="I130" s="18" t="s">
        <v>83</v>
      </c>
      <c r="J130" s="18" t="s">
        <v>55</v>
      </c>
      <c r="K130" s="18" t="s">
        <v>54</v>
      </c>
      <c r="L130" s="18" t="s">
        <v>53</v>
      </c>
    </row>
    <row r="131" customFormat="false" ht="15" hidden="false" customHeight="false" outlineLevel="0" collapsed="false">
      <c r="A131" s="18" t="n">
        <v>130</v>
      </c>
      <c r="B131" s="18" t="s">
        <v>29</v>
      </c>
      <c r="C131" s="18" t="s">
        <v>12</v>
      </c>
      <c r="D131" s="18" t="s">
        <v>15</v>
      </c>
      <c r="E131" s="18"/>
      <c r="F131" s="18"/>
      <c r="G131" s="18"/>
      <c r="H131" s="18"/>
      <c r="I131" s="18"/>
      <c r="J131" s="18"/>
      <c r="K131" s="18"/>
      <c r="L131" s="18"/>
    </row>
    <row r="132" customFormat="false" ht="15" hidden="false" customHeight="false" outlineLevel="0" collapsed="false">
      <c r="A132" s="18" t="n">
        <v>131</v>
      </c>
      <c r="B132" s="18" t="s">
        <v>26</v>
      </c>
      <c r="C132" s="18" t="s">
        <v>12</v>
      </c>
      <c r="D132" s="18" t="s">
        <v>15</v>
      </c>
      <c r="E132" s="18" t="s">
        <v>82</v>
      </c>
      <c r="F132" s="18" t="s">
        <v>82</v>
      </c>
      <c r="G132" s="18" t="s">
        <v>83</v>
      </c>
      <c r="H132" s="18" t="s">
        <v>83</v>
      </c>
      <c r="I132" s="18" t="s">
        <v>83</v>
      </c>
      <c r="J132" s="18" t="s">
        <v>54</v>
      </c>
      <c r="K132" s="18" t="s">
        <v>53</v>
      </c>
      <c r="L132" s="18" t="s">
        <v>51</v>
      </c>
    </row>
    <row r="133" customFormat="false" ht="15" hidden="false" customHeight="false" outlineLevel="0" collapsed="false">
      <c r="A133" s="18" t="n">
        <v>132</v>
      </c>
      <c r="B133" s="18" t="s">
        <v>33</v>
      </c>
      <c r="C133" s="18" t="s">
        <v>12</v>
      </c>
      <c r="D133" s="18" t="s">
        <v>16</v>
      </c>
      <c r="E133" s="18" t="s">
        <v>82</v>
      </c>
      <c r="F133" s="18" t="s">
        <v>82</v>
      </c>
      <c r="G133" s="18" t="s">
        <v>83</v>
      </c>
      <c r="H133" s="18" t="s">
        <v>83</v>
      </c>
      <c r="I133" s="18" t="s">
        <v>83</v>
      </c>
      <c r="J133" s="18" t="s">
        <v>56</v>
      </c>
      <c r="K133" s="18" t="s">
        <v>54</v>
      </c>
      <c r="L133" s="18" t="s">
        <v>54</v>
      </c>
    </row>
    <row r="134" customFormat="false" ht="15" hidden="false" customHeight="false" outlineLevel="0" collapsed="false">
      <c r="A134" s="18" t="n">
        <v>133</v>
      </c>
      <c r="B134" s="18" t="s">
        <v>45</v>
      </c>
      <c r="C134" s="18" t="s">
        <v>13</v>
      </c>
      <c r="D134" s="18" t="s">
        <v>16</v>
      </c>
      <c r="E134" s="18" t="s">
        <v>82</v>
      </c>
      <c r="F134" s="18" t="s">
        <v>82</v>
      </c>
      <c r="G134" s="18" t="s">
        <v>83</v>
      </c>
      <c r="H134" s="18" t="s">
        <v>83</v>
      </c>
      <c r="I134" s="18" t="s">
        <v>83</v>
      </c>
      <c r="J134" s="18" t="s">
        <v>52</v>
      </c>
      <c r="K134" s="18" t="s">
        <v>53</v>
      </c>
      <c r="L134" s="18" t="s">
        <v>52</v>
      </c>
    </row>
    <row r="135" customFormat="false" ht="15" hidden="false" customHeight="false" outlineLevel="0" collapsed="false">
      <c r="A135" s="18" t="n">
        <v>134</v>
      </c>
      <c r="B135" s="18" t="s">
        <v>39</v>
      </c>
      <c r="C135" s="18" t="s">
        <v>13</v>
      </c>
      <c r="D135" s="18" t="s">
        <v>17</v>
      </c>
      <c r="E135" s="18" t="s">
        <v>82</v>
      </c>
      <c r="F135" s="18" t="s">
        <v>82</v>
      </c>
      <c r="G135" s="18" t="s">
        <v>84</v>
      </c>
      <c r="H135" s="18" t="s">
        <v>85</v>
      </c>
      <c r="I135" s="18" t="s">
        <v>83</v>
      </c>
      <c r="J135" s="18" t="s">
        <v>53</v>
      </c>
      <c r="K135" s="18" t="s">
        <v>51</v>
      </c>
      <c r="L135" s="18" t="s">
        <v>55</v>
      </c>
    </row>
    <row r="136" customFormat="false" ht="15" hidden="false" customHeight="false" outlineLevel="0" collapsed="false">
      <c r="A136" s="18" t="n">
        <v>135</v>
      </c>
      <c r="B136" s="18" t="s">
        <v>29</v>
      </c>
      <c r="C136" s="18" t="s">
        <v>12</v>
      </c>
      <c r="D136" s="18" t="s">
        <v>15</v>
      </c>
      <c r="E136" s="18"/>
      <c r="F136" s="18"/>
      <c r="G136" s="18"/>
      <c r="H136" s="18"/>
      <c r="I136" s="18"/>
      <c r="J136" s="18"/>
      <c r="K136" s="18"/>
      <c r="L136" s="18"/>
    </row>
    <row r="137" customFormat="false" ht="15" hidden="false" customHeight="false" outlineLevel="0" collapsed="false">
      <c r="A137" s="18" t="n">
        <v>136</v>
      </c>
      <c r="B137" s="18" t="s">
        <v>31</v>
      </c>
      <c r="C137" s="18" t="s">
        <v>12</v>
      </c>
      <c r="D137" s="18" t="s">
        <v>15</v>
      </c>
      <c r="E137" s="18" t="s">
        <v>82</v>
      </c>
      <c r="F137" s="18" t="s">
        <v>82</v>
      </c>
      <c r="G137" s="18" t="s">
        <v>83</v>
      </c>
      <c r="H137" s="18" t="s">
        <v>83</v>
      </c>
      <c r="I137" s="18" t="s">
        <v>83</v>
      </c>
      <c r="J137" s="18" t="s">
        <v>53</v>
      </c>
      <c r="K137" s="18" t="s">
        <v>55</v>
      </c>
      <c r="L137" s="18" t="s">
        <v>52</v>
      </c>
    </row>
    <row r="138" customFormat="false" ht="15" hidden="false" customHeight="false" outlineLevel="0" collapsed="false">
      <c r="A138" s="18" t="n">
        <v>137</v>
      </c>
      <c r="B138" s="18" t="s">
        <v>45</v>
      </c>
      <c r="C138" s="18" t="s">
        <v>13</v>
      </c>
      <c r="D138" s="18" t="s">
        <v>16</v>
      </c>
      <c r="E138" s="18" t="s">
        <v>82</v>
      </c>
      <c r="F138" s="18" t="s">
        <v>82</v>
      </c>
      <c r="G138" s="18" t="s">
        <v>83</v>
      </c>
      <c r="H138" s="18" t="s">
        <v>83</v>
      </c>
      <c r="I138" s="18" t="s">
        <v>83</v>
      </c>
      <c r="J138" s="18" t="s">
        <v>53</v>
      </c>
      <c r="K138" s="18" t="s">
        <v>54</v>
      </c>
      <c r="L138" s="18" t="s">
        <v>55</v>
      </c>
    </row>
    <row r="139" customFormat="false" ht="15" hidden="false" customHeight="false" outlineLevel="0" collapsed="false">
      <c r="A139" s="18" t="n">
        <v>138</v>
      </c>
      <c r="B139" s="18" t="s">
        <v>34</v>
      </c>
      <c r="C139" s="18" t="s">
        <v>12</v>
      </c>
      <c r="D139" s="18" t="s">
        <v>16</v>
      </c>
      <c r="E139" s="18" t="s">
        <v>82</v>
      </c>
      <c r="F139" s="18" t="s">
        <v>82</v>
      </c>
      <c r="G139" s="18" t="s">
        <v>84</v>
      </c>
      <c r="H139" s="18" t="s">
        <v>85</v>
      </c>
      <c r="I139" s="18" t="s">
        <v>83</v>
      </c>
      <c r="J139" s="18" t="s">
        <v>55</v>
      </c>
      <c r="K139" s="18" t="s">
        <v>52</v>
      </c>
      <c r="L139" s="18" t="s">
        <v>52</v>
      </c>
    </row>
    <row r="140" customFormat="false" ht="15" hidden="false" customHeight="false" outlineLevel="0" collapsed="false">
      <c r="A140" s="18" t="n">
        <v>139</v>
      </c>
      <c r="B140" s="18" t="s">
        <v>32</v>
      </c>
      <c r="C140" s="18" t="s">
        <v>12</v>
      </c>
      <c r="D140" s="18" t="s">
        <v>16</v>
      </c>
      <c r="E140" s="18" t="s">
        <v>82</v>
      </c>
      <c r="F140" s="18" t="s">
        <v>82</v>
      </c>
      <c r="G140" s="18" t="s">
        <v>83</v>
      </c>
      <c r="H140" s="18" t="s">
        <v>83</v>
      </c>
      <c r="I140" s="18" t="s">
        <v>83</v>
      </c>
      <c r="J140" s="18" t="s">
        <v>54</v>
      </c>
      <c r="K140" s="18" t="s">
        <v>53</v>
      </c>
      <c r="L140" s="18" t="s">
        <v>54</v>
      </c>
    </row>
    <row r="141" customFormat="false" ht="15" hidden="false" customHeight="false" outlineLevel="0" collapsed="false">
      <c r="A141" s="18" t="n">
        <v>140</v>
      </c>
      <c r="B141" s="18" t="s">
        <v>28</v>
      </c>
      <c r="C141" s="18" t="s">
        <v>12</v>
      </c>
      <c r="D141" s="18" t="s">
        <v>15</v>
      </c>
      <c r="E141" s="18" t="s">
        <v>82</v>
      </c>
      <c r="F141" s="18" t="s">
        <v>82</v>
      </c>
      <c r="G141" s="18" t="s">
        <v>83</v>
      </c>
      <c r="H141" s="18" t="s">
        <v>83</v>
      </c>
      <c r="I141" s="18" t="s">
        <v>83</v>
      </c>
      <c r="J141" s="18" t="s">
        <v>55</v>
      </c>
      <c r="K141" s="18" t="s">
        <v>55</v>
      </c>
      <c r="L141" s="18" t="s">
        <v>53</v>
      </c>
    </row>
    <row r="142" customFormat="false" ht="15" hidden="false" customHeight="false" outlineLevel="0" collapsed="false">
      <c r="A142" s="18" t="n">
        <v>141</v>
      </c>
      <c r="B142" s="18" t="s">
        <v>42</v>
      </c>
      <c r="C142" s="18" t="s">
        <v>13</v>
      </c>
      <c r="D142" s="18" t="s">
        <v>16</v>
      </c>
      <c r="E142" s="18" t="s">
        <v>82</v>
      </c>
      <c r="F142" s="18" t="s">
        <v>82</v>
      </c>
      <c r="G142" s="18" t="s">
        <v>83</v>
      </c>
      <c r="H142" s="18" t="s">
        <v>83</v>
      </c>
      <c r="I142" s="18" t="s">
        <v>83</v>
      </c>
      <c r="J142" s="18" t="s">
        <v>52</v>
      </c>
      <c r="K142" s="18" t="s">
        <v>54</v>
      </c>
      <c r="L142" s="18" t="s">
        <v>53</v>
      </c>
    </row>
    <row r="143" customFormat="false" ht="15" hidden="false" customHeight="false" outlineLevel="0" collapsed="false">
      <c r="A143" s="18" t="n">
        <v>142</v>
      </c>
      <c r="B143" s="18" t="s">
        <v>40</v>
      </c>
      <c r="C143" s="18" t="s">
        <v>13</v>
      </c>
      <c r="D143" s="18" t="s">
        <v>15</v>
      </c>
      <c r="E143" s="18" t="s">
        <v>82</v>
      </c>
      <c r="F143" s="18" t="s">
        <v>82</v>
      </c>
      <c r="G143" s="18" t="s">
        <v>86</v>
      </c>
      <c r="H143" s="18" t="s">
        <v>84</v>
      </c>
      <c r="I143" s="18" t="s">
        <v>85</v>
      </c>
      <c r="J143" s="18" t="s">
        <v>57</v>
      </c>
      <c r="K143" s="18" t="s">
        <v>56</v>
      </c>
      <c r="L143" s="18" t="s">
        <v>56</v>
      </c>
    </row>
    <row r="144" customFormat="false" ht="15" hidden="false" customHeight="false" outlineLevel="0" collapsed="false">
      <c r="A144" s="18" t="n">
        <v>143</v>
      </c>
      <c r="B144" s="18" t="s">
        <v>27</v>
      </c>
      <c r="C144" s="18" t="s">
        <v>12</v>
      </c>
      <c r="D144" s="18" t="s">
        <v>15</v>
      </c>
      <c r="E144" s="18"/>
      <c r="F144" s="18" t="s">
        <v>87</v>
      </c>
      <c r="G144" s="18" t="s">
        <v>83</v>
      </c>
      <c r="H144" s="18" t="s">
        <v>83</v>
      </c>
      <c r="I144" s="18"/>
      <c r="J144" s="18" t="s">
        <v>56</v>
      </c>
      <c r="K144" s="18" t="s">
        <v>56</v>
      </c>
      <c r="L144" s="18"/>
    </row>
    <row r="145" customFormat="false" ht="15" hidden="false" customHeight="false" outlineLevel="0" collapsed="false">
      <c r="A145" s="18" t="n">
        <v>144</v>
      </c>
      <c r="B145" s="18" t="s">
        <v>36</v>
      </c>
      <c r="C145" s="18" t="s">
        <v>12</v>
      </c>
      <c r="D145" s="18" t="s">
        <v>16</v>
      </c>
      <c r="E145" s="18" t="s">
        <v>82</v>
      </c>
      <c r="F145" s="18" t="s">
        <v>82</v>
      </c>
      <c r="G145" s="18" t="s">
        <v>83</v>
      </c>
      <c r="H145" s="18" t="s">
        <v>83</v>
      </c>
      <c r="I145" s="18" t="s">
        <v>83</v>
      </c>
      <c r="J145" s="18" t="s">
        <v>51</v>
      </c>
      <c r="K145" s="18" t="s">
        <v>52</v>
      </c>
      <c r="L145" s="18" t="s">
        <v>51</v>
      </c>
    </row>
    <row r="146" customFormat="false" ht="15" hidden="false" customHeight="false" outlineLevel="0" collapsed="false">
      <c r="A146" s="18" t="n">
        <v>145</v>
      </c>
      <c r="B146" s="18" t="s">
        <v>37</v>
      </c>
      <c r="C146" s="18" t="s">
        <v>12</v>
      </c>
      <c r="D146" s="18" t="s">
        <v>16</v>
      </c>
      <c r="E146" s="18" t="s">
        <v>82</v>
      </c>
      <c r="F146" s="18" t="s">
        <v>82</v>
      </c>
      <c r="G146" s="18" t="s">
        <v>83</v>
      </c>
      <c r="H146" s="18" t="s">
        <v>83</v>
      </c>
      <c r="I146" s="18" t="s">
        <v>83</v>
      </c>
      <c r="J146" s="18" t="s">
        <v>54</v>
      </c>
      <c r="K146" s="18" t="s">
        <v>54</v>
      </c>
      <c r="L146" s="18" t="s">
        <v>53</v>
      </c>
    </row>
    <row r="147" customFormat="false" ht="15" hidden="false" customHeight="false" outlineLevel="0" collapsed="false">
      <c r="A147" s="18" t="n">
        <v>146</v>
      </c>
      <c r="B147" s="18" t="s">
        <v>40</v>
      </c>
      <c r="C147" s="18" t="s">
        <v>13</v>
      </c>
      <c r="D147" s="18" t="s">
        <v>15</v>
      </c>
      <c r="E147" s="18" t="s">
        <v>82</v>
      </c>
      <c r="F147" s="18"/>
      <c r="G147" s="18"/>
      <c r="H147" s="18"/>
      <c r="I147" s="18" t="s">
        <v>84</v>
      </c>
      <c r="J147" s="18"/>
      <c r="K147" s="18"/>
      <c r="L147" s="18" t="s">
        <v>56</v>
      </c>
    </row>
    <row r="148" customFormat="false" ht="15" hidden="false" customHeight="false" outlineLevel="0" collapsed="false">
      <c r="A148" s="18" t="n">
        <v>147</v>
      </c>
      <c r="B148" s="18" t="s">
        <v>45</v>
      </c>
      <c r="C148" s="18" t="s">
        <v>13</v>
      </c>
      <c r="D148" s="18" t="s">
        <v>16</v>
      </c>
      <c r="E148" s="18" t="s">
        <v>82</v>
      </c>
      <c r="F148" s="18" t="s">
        <v>82</v>
      </c>
      <c r="G148" s="18"/>
      <c r="H148" s="18" t="s">
        <v>84</v>
      </c>
      <c r="I148" s="18" t="s">
        <v>85</v>
      </c>
      <c r="J148" s="18"/>
      <c r="K148" s="18" t="s">
        <v>56</v>
      </c>
      <c r="L148" s="18" t="s">
        <v>56</v>
      </c>
    </row>
    <row r="149" customFormat="false" ht="15" hidden="false" customHeight="false" outlineLevel="0" collapsed="false">
      <c r="A149" s="18" t="n">
        <v>148</v>
      </c>
      <c r="B149" s="18" t="s">
        <v>31</v>
      </c>
      <c r="C149" s="18" t="s">
        <v>12</v>
      </c>
      <c r="D149" s="18" t="s">
        <v>15</v>
      </c>
      <c r="E149" s="18" t="s">
        <v>82</v>
      </c>
      <c r="F149" s="18" t="s">
        <v>82</v>
      </c>
      <c r="G149" s="18" t="s">
        <v>83</v>
      </c>
      <c r="H149" s="18" t="s">
        <v>83</v>
      </c>
      <c r="I149" s="18" t="s">
        <v>83</v>
      </c>
      <c r="J149" s="18" t="s">
        <v>53</v>
      </c>
      <c r="K149" s="18" t="s">
        <v>51</v>
      </c>
      <c r="L149" s="18" t="s">
        <v>56</v>
      </c>
    </row>
    <row r="150" customFormat="false" ht="15" hidden="false" customHeight="false" outlineLevel="0" collapsed="false">
      <c r="A150" s="18" t="n">
        <v>149</v>
      </c>
      <c r="B150" s="18" t="s">
        <v>32</v>
      </c>
      <c r="C150" s="18" t="s">
        <v>12</v>
      </c>
      <c r="D150" s="18" t="s">
        <v>16</v>
      </c>
      <c r="E150" s="18" t="s">
        <v>82</v>
      </c>
      <c r="F150" s="18" t="s">
        <v>82</v>
      </c>
      <c r="G150" s="18" t="s">
        <v>83</v>
      </c>
      <c r="H150" s="18" t="s">
        <v>83</v>
      </c>
      <c r="I150" s="18" t="s">
        <v>83</v>
      </c>
      <c r="J150" s="18" t="s">
        <v>53</v>
      </c>
      <c r="K150" s="18" t="s">
        <v>51</v>
      </c>
      <c r="L150" s="18" t="s">
        <v>51</v>
      </c>
    </row>
    <row r="151" customFormat="false" ht="15" hidden="false" customHeight="false" outlineLevel="0" collapsed="false">
      <c r="A151" s="18" t="n">
        <v>150</v>
      </c>
      <c r="B151" s="18" t="s">
        <v>43</v>
      </c>
      <c r="C151" s="18" t="s">
        <v>13</v>
      </c>
      <c r="D151" s="18" t="s">
        <v>16</v>
      </c>
      <c r="E151" s="18" t="s">
        <v>82</v>
      </c>
      <c r="F151" s="18" t="s">
        <v>82</v>
      </c>
      <c r="G151" s="18" t="s">
        <v>83</v>
      </c>
      <c r="H151" s="18" t="s">
        <v>83</v>
      </c>
      <c r="I151" s="18" t="s">
        <v>83</v>
      </c>
      <c r="J151" s="18" t="s">
        <v>54</v>
      </c>
      <c r="K151" s="18" t="s">
        <v>54</v>
      </c>
      <c r="L151" s="18" t="s">
        <v>53</v>
      </c>
    </row>
    <row r="152" customFormat="false" ht="15" hidden="false" customHeight="false" outlineLevel="0" collapsed="false">
      <c r="A152" s="18" t="n">
        <v>151</v>
      </c>
      <c r="B152" s="18" t="s">
        <v>44</v>
      </c>
      <c r="C152" s="18" t="s">
        <v>13</v>
      </c>
      <c r="D152" s="18" t="s">
        <v>16</v>
      </c>
      <c r="E152" s="18" t="s">
        <v>82</v>
      </c>
      <c r="F152" s="18" t="s">
        <v>82</v>
      </c>
      <c r="G152" s="18" t="s">
        <v>83</v>
      </c>
      <c r="H152" s="18" t="s">
        <v>83</v>
      </c>
      <c r="I152" s="18" t="s">
        <v>83</v>
      </c>
      <c r="J152" s="18" t="s">
        <v>54</v>
      </c>
      <c r="K152" s="18" t="s">
        <v>53</v>
      </c>
      <c r="L152" s="18" t="s">
        <v>53</v>
      </c>
    </row>
    <row r="153" customFormat="false" ht="15" hidden="false" customHeight="false" outlineLevel="0" collapsed="false">
      <c r="A153" s="18" t="n">
        <v>152</v>
      </c>
      <c r="B153" s="18" t="s">
        <v>37</v>
      </c>
      <c r="C153" s="18" t="s">
        <v>12</v>
      </c>
      <c r="D153" s="18" t="s">
        <v>16</v>
      </c>
      <c r="E153" s="18" t="s">
        <v>82</v>
      </c>
      <c r="F153" s="18" t="s">
        <v>82</v>
      </c>
      <c r="G153" s="18" t="s">
        <v>83</v>
      </c>
      <c r="H153" s="18" t="s">
        <v>83</v>
      </c>
      <c r="I153" s="18" t="s">
        <v>83</v>
      </c>
      <c r="J153" s="18" t="s">
        <v>53</v>
      </c>
      <c r="K153" s="18" t="s">
        <v>54</v>
      </c>
      <c r="L153" s="18" t="s">
        <v>53</v>
      </c>
    </row>
    <row r="154" customFormat="false" ht="15" hidden="false" customHeight="false" outlineLevel="0" collapsed="false">
      <c r="A154" s="18" t="n">
        <v>153</v>
      </c>
      <c r="B154" s="18" t="s">
        <v>26</v>
      </c>
      <c r="C154" s="18" t="s">
        <v>12</v>
      </c>
      <c r="D154" s="18" t="s">
        <v>15</v>
      </c>
      <c r="E154" s="18"/>
      <c r="F154" s="18"/>
      <c r="G154" s="18" t="s">
        <v>84</v>
      </c>
      <c r="H154" s="18"/>
      <c r="I154" s="18"/>
      <c r="J154" s="18" t="s">
        <v>56</v>
      </c>
      <c r="K154" s="18"/>
      <c r="L154" s="18"/>
    </row>
    <row r="155" customFormat="false" ht="15" hidden="false" customHeight="false" outlineLevel="0" collapsed="false">
      <c r="A155" s="18" t="n">
        <v>154</v>
      </c>
      <c r="B155" s="18" t="s">
        <v>26</v>
      </c>
      <c r="C155" s="18" t="s">
        <v>12</v>
      </c>
      <c r="D155" s="18" t="s">
        <v>15</v>
      </c>
      <c r="E155" s="18" t="s">
        <v>82</v>
      </c>
      <c r="F155" s="18" t="s">
        <v>82</v>
      </c>
      <c r="G155" s="18" t="s">
        <v>83</v>
      </c>
      <c r="H155" s="18" t="s">
        <v>83</v>
      </c>
      <c r="I155" s="18" t="s">
        <v>83</v>
      </c>
      <c r="J155" s="18" t="s">
        <v>56</v>
      </c>
      <c r="K155" s="18" t="s">
        <v>56</v>
      </c>
      <c r="L155" s="18" t="s">
        <v>56</v>
      </c>
    </row>
    <row r="156" customFormat="false" ht="15" hidden="false" customHeight="false" outlineLevel="0" collapsed="false">
      <c r="A156" s="18" t="n">
        <v>155</v>
      </c>
      <c r="B156" s="18" t="s">
        <v>38</v>
      </c>
      <c r="C156" s="18" t="s">
        <v>12</v>
      </c>
      <c r="D156" s="18" t="s">
        <v>15</v>
      </c>
      <c r="E156" s="18" t="s">
        <v>82</v>
      </c>
      <c r="F156" s="18" t="s">
        <v>82</v>
      </c>
      <c r="G156" s="18" t="s">
        <v>83</v>
      </c>
      <c r="H156" s="18" t="s">
        <v>83</v>
      </c>
      <c r="I156" s="18" t="s">
        <v>83</v>
      </c>
      <c r="J156" s="18" t="s">
        <v>53</v>
      </c>
      <c r="K156" s="18" t="s">
        <v>53</v>
      </c>
      <c r="L156" s="18" t="s">
        <v>53</v>
      </c>
    </row>
    <row r="157" customFormat="false" ht="15" hidden="false" customHeight="false" outlineLevel="0" collapsed="false">
      <c r="A157" s="18" t="n">
        <v>156</v>
      </c>
      <c r="B157" s="18" t="s">
        <v>43</v>
      </c>
      <c r="C157" s="18" t="s">
        <v>13</v>
      </c>
      <c r="D157" s="18" t="s">
        <v>16</v>
      </c>
      <c r="E157" s="18" t="s">
        <v>82</v>
      </c>
      <c r="F157" s="18" t="s">
        <v>82</v>
      </c>
      <c r="G157" s="18" t="s">
        <v>83</v>
      </c>
      <c r="H157" s="18" t="s">
        <v>83</v>
      </c>
      <c r="I157" s="18" t="s">
        <v>83</v>
      </c>
      <c r="J157" s="18" t="s">
        <v>52</v>
      </c>
      <c r="K157" s="18" t="s">
        <v>54</v>
      </c>
      <c r="L157" s="18" t="s">
        <v>56</v>
      </c>
    </row>
    <row r="158" customFormat="false" ht="15" hidden="false" customHeight="false" outlineLevel="0" collapsed="false">
      <c r="A158" s="18" t="n">
        <v>157</v>
      </c>
      <c r="B158" s="18" t="s">
        <v>34</v>
      </c>
      <c r="C158" s="18" t="s">
        <v>12</v>
      </c>
      <c r="D158" s="18" t="s">
        <v>16</v>
      </c>
      <c r="E158" s="18" t="s">
        <v>82</v>
      </c>
      <c r="F158" s="18" t="s">
        <v>82</v>
      </c>
      <c r="G158" s="18" t="s">
        <v>83</v>
      </c>
      <c r="H158" s="18" t="s">
        <v>83</v>
      </c>
      <c r="I158" s="18" t="s">
        <v>83</v>
      </c>
      <c r="J158" s="18" t="s">
        <v>53</v>
      </c>
      <c r="K158" s="18" t="s">
        <v>52</v>
      </c>
      <c r="L158" s="18" t="s">
        <v>52</v>
      </c>
    </row>
    <row r="159" customFormat="false" ht="15" hidden="false" customHeight="false" outlineLevel="0" collapsed="false">
      <c r="A159" s="18" t="n">
        <v>158</v>
      </c>
      <c r="B159" s="18" t="s">
        <v>36</v>
      </c>
      <c r="C159" s="18" t="s">
        <v>12</v>
      </c>
      <c r="D159" s="18" t="s">
        <v>16</v>
      </c>
      <c r="E159" s="18" t="s">
        <v>82</v>
      </c>
      <c r="F159" s="18" t="s">
        <v>82</v>
      </c>
      <c r="G159" s="18" t="s">
        <v>83</v>
      </c>
      <c r="H159" s="18" t="s">
        <v>83</v>
      </c>
      <c r="I159" s="18" t="s">
        <v>83</v>
      </c>
      <c r="J159" s="18" t="s">
        <v>54</v>
      </c>
      <c r="K159" s="18" t="s">
        <v>52</v>
      </c>
      <c r="L159" s="18" t="s">
        <v>56</v>
      </c>
    </row>
    <row r="160" customFormat="false" ht="15" hidden="false" customHeight="false" outlineLevel="0" collapsed="false">
      <c r="A160" s="18" t="n">
        <v>159</v>
      </c>
      <c r="B160" s="18" t="s">
        <v>27</v>
      </c>
      <c r="C160" s="18" t="s">
        <v>12</v>
      </c>
      <c r="D160" s="18" t="s">
        <v>15</v>
      </c>
      <c r="E160" s="18"/>
      <c r="F160" s="18"/>
      <c r="G160" s="18" t="s">
        <v>84</v>
      </c>
      <c r="H160" s="18"/>
      <c r="I160" s="18"/>
      <c r="J160" s="18" t="s">
        <v>56</v>
      </c>
      <c r="K160" s="18"/>
      <c r="L160" s="18"/>
    </row>
    <row r="161" customFormat="false" ht="15" hidden="false" customHeight="false" outlineLevel="0" collapsed="false">
      <c r="A161" s="18" t="n">
        <v>160</v>
      </c>
      <c r="B161" s="18" t="s">
        <v>29</v>
      </c>
      <c r="C161" s="18" t="s">
        <v>12</v>
      </c>
      <c r="D161" s="18" t="s">
        <v>15</v>
      </c>
      <c r="E161" s="18" t="s">
        <v>82</v>
      </c>
      <c r="F161" s="18" t="s">
        <v>82</v>
      </c>
      <c r="G161" s="18" t="s">
        <v>83</v>
      </c>
      <c r="H161" s="18" t="s">
        <v>83</v>
      </c>
      <c r="I161" s="18" t="s">
        <v>83</v>
      </c>
      <c r="J161" s="18" t="s">
        <v>52</v>
      </c>
      <c r="K161" s="18" t="s">
        <v>52</v>
      </c>
      <c r="L161" s="18" t="s">
        <v>53</v>
      </c>
    </row>
    <row r="162" customFormat="false" ht="15" hidden="false" customHeight="false" outlineLevel="0" collapsed="false">
      <c r="A162" s="18" t="n">
        <v>161</v>
      </c>
      <c r="B162" s="18" t="s">
        <v>26</v>
      </c>
      <c r="C162" s="18" t="s">
        <v>12</v>
      </c>
      <c r="D162" s="18" t="s">
        <v>15</v>
      </c>
      <c r="E162" s="18" t="s">
        <v>82</v>
      </c>
      <c r="F162" s="18" t="s">
        <v>82</v>
      </c>
      <c r="G162" s="18" t="s">
        <v>83</v>
      </c>
      <c r="H162" s="18" t="s">
        <v>83</v>
      </c>
      <c r="I162" s="18" t="s">
        <v>83</v>
      </c>
      <c r="J162" s="18" t="s">
        <v>53</v>
      </c>
      <c r="K162" s="18" t="s">
        <v>53</v>
      </c>
      <c r="L162" s="18" t="s">
        <v>54</v>
      </c>
    </row>
    <row r="163" customFormat="false" ht="15" hidden="false" customHeight="false" outlineLevel="0" collapsed="false">
      <c r="A163" s="18" t="n">
        <v>162</v>
      </c>
      <c r="B163" s="18" t="s">
        <v>35</v>
      </c>
      <c r="C163" s="18" t="s">
        <v>12</v>
      </c>
      <c r="D163" s="18" t="s">
        <v>16</v>
      </c>
      <c r="E163" s="18" t="s">
        <v>82</v>
      </c>
      <c r="F163" s="18" t="s">
        <v>82</v>
      </c>
      <c r="G163" s="18" t="s">
        <v>86</v>
      </c>
      <c r="H163" s="18" t="s">
        <v>84</v>
      </c>
      <c r="I163" s="18" t="s">
        <v>85</v>
      </c>
      <c r="J163" s="18" t="s">
        <v>57</v>
      </c>
      <c r="K163" s="18" t="s">
        <v>55</v>
      </c>
      <c r="L163" s="18" t="s">
        <v>56</v>
      </c>
    </row>
    <row r="164" customFormat="false" ht="15" hidden="false" customHeight="false" outlineLevel="0" collapsed="false">
      <c r="A164" s="18" t="n">
        <v>163</v>
      </c>
      <c r="B164" s="18" t="s">
        <v>33</v>
      </c>
      <c r="C164" s="18" t="s">
        <v>12</v>
      </c>
      <c r="D164" s="18" t="s">
        <v>16</v>
      </c>
      <c r="E164" s="18" t="s">
        <v>82</v>
      </c>
      <c r="F164" s="18" t="s">
        <v>82</v>
      </c>
      <c r="G164" s="18" t="s">
        <v>83</v>
      </c>
      <c r="H164" s="18" t="s">
        <v>83</v>
      </c>
      <c r="I164" s="18" t="s">
        <v>83</v>
      </c>
      <c r="J164" s="18" t="s">
        <v>55</v>
      </c>
      <c r="K164" s="18" t="s">
        <v>55</v>
      </c>
      <c r="L164" s="18" t="s">
        <v>56</v>
      </c>
    </row>
    <row r="165" customFormat="false" ht="15" hidden="false" customHeight="false" outlineLevel="0" collapsed="false">
      <c r="A165" s="18" t="n">
        <v>164</v>
      </c>
      <c r="B165" s="18" t="s">
        <v>41</v>
      </c>
      <c r="C165" s="18" t="s">
        <v>13</v>
      </c>
      <c r="D165" s="18" t="s">
        <v>16</v>
      </c>
      <c r="E165" s="18" t="s">
        <v>82</v>
      </c>
      <c r="F165" s="18" t="s">
        <v>82</v>
      </c>
      <c r="G165" s="18" t="s">
        <v>83</v>
      </c>
      <c r="H165" s="18" t="s">
        <v>83</v>
      </c>
      <c r="I165" s="18" t="s">
        <v>83</v>
      </c>
      <c r="J165" s="18" t="s">
        <v>53</v>
      </c>
      <c r="K165" s="18" t="s">
        <v>53</v>
      </c>
      <c r="L165" s="18" t="s">
        <v>53</v>
      </c>
    </row>
    <row r="166" customFormat="false" ht="15" hidden="false" customHeight="false" outlineLevel="0" collapsed="false">
      <c r="A166" s="18" t="n">
        <v>165</v>
      </c>
      <c r="B166" s="18" t="s">
        <v>36</v>
      </c>
      <c r="C166" s="18" t="s">
        <v>12</v>
      </c>
      <c r="D166" s="18" t="s">
        <v>16</v>
      </c>
      <c r="E166" s="18"/>
      <c r="F166" s="18" t="s">
        <v>87</v>
      </c>
      <c r="G166" s="18"/>
      <c r="H166" s="18" t="s">
        <v>86</v>
      </c>
      <c r="I166" s="18"/>
      <c r="J166" s="18"/>
      <c r="K166" s="18" t="s">
        <v>57</v>
      </c>
      <c r="L166" s="18"/>
    </row>
    <row r="167" customFormat="false" ht="15" hidden="false" customHeight="false" outlineLevel="0" collapsed="false">
      <c r="A167" s="18" t="n">
        <v>166</v>
      </c>
      <c r="B167" s="18" t="s">
        <v>37</v>
      </c>
      <c r="C167" s="18" t="s">
        <v>12</v>
      </c>
      <c r="D167" s="18" t="s">
        <v>16</v>
      </c>
      <c r="E167" s="18" t="s">
        <v>82</v>
      </c>
      <c r="F167" s="18" t="s">
        <v>82</v>
      </c>
      <c r="G167" s="18" t="s">
        <v>86</v>
      </c>
      <c r="H167" s="18" t="s">
        <v>84</v>
      </c>
      <c r="I167" s="18" t="s">
        <v>85</v>
      </c>
      <c r="J167" s="18" t="s">
        <v>57</v>
      </c>
      <c r="K167" s="18" t="s">
        <v>56</v>
      </c>
      <c r="L167" s="18" t="s">
        <v>54</v>
      </c>
    </row>
    <row r="168" customFormat="false" ht="15" hidden="false" customHeight="false" outlineLevel="0" collapsed="false">
      <c r="A168" s="18" t="n">
        <v>167</v>
      </c>
      <c r="B168" s="18" t="s">
        <v>27</v>
      </c>
      <c r="C168" s="18" t="s">
        <v>12</v>
      </c>
      <c r="D168" s="18" t="s">
        <v>15</v>
      </c>
      <c r="E168" s="18" t="s">
        <v>82</v>
      </c>
      <c r="F168" s="18"/>
      <c r="G168" s="18"/>
      <c r="H168" s="18"/>
      <c r="I168" s="18" t="s">
        <v>84</v>
      </c>
      <c r="J168" s="18"/>
      <c r="K168" s="18"/>
      <c r="L168" s="18" t="s">
        <v>56</v>
      </c>
    </row>
    <row r="169" customFormat="false" ht="15" hidden="false" customHeight="false" outlineLevel="0" collapsed="false">
      <c r="A169" s="18" t="n">
        <v>168</v>
      </c>
      <c r="B169" s="18" t="s">
        <v>45</v>
      </c>
      <c r="C169" s="18" t="s">
        <v>13</v>
      </c>
      <c r="D169" s="18" t="s">
        <v>16</v>
      </c>
      <c r="E169" s="18" t="s">
        <v>82</v>
      </c>
      <c r="F169" s="18" t="s">
        <v>82</v>
      </c>
      <c r="G169" s="18" t="s">
        <v>83</v>
      </c>
      <c r="H169" s="18" t="s">
        <v>83</v>
      </c>
      <c r="I169" s="18" t="s">
        <v>83</v>
      </c>
      <c r="J169" s="18" t="s">
        <v>52</v>
      </c>
      <c r="K169" s="18" t="s">
        <v>53</v>
      </c>
      <c r="L169" s="18" t="s">
        <v>56</v>
      </c>
    </row>
    <row r="170" customFormat="false" ht="15" hidden="false" customHeight="false" outlineLevel="0" collapsed="false">
      <c r="A170" s="18" t="n">
        <v>169</v>
      </c>
      <c r="B170" s="18" t="s">
        <v>43</v>
      </c>
      <c r="C170" s="18" t="s">
        <v>13</v>
      </c>
      <c r="D170" s="18" t="s">
        <v>16</v>
      </c>
      <c r="E170" s="18" t="s">
        <v>82</v>
      </c>
      <c r="F170" s="18" t="s">
        <v>82</v>
      </c>
      <c r="G170" s="18" t="s">
        <v>83</v>
      </c>
      <c r="H170" s="18" t="s">
        <v>83</v>
      </c>
      <c r="I170" s="18" t="s">
        <v>83</v>
      </c>
      <c r="J170" s="18" t="s">
        <v>52</v>
      </c>
      <c r="K170" s="18" t="s">
        <v>52</v>
      </c>
      <c r="L170" s="18" t="s">
        <v>53</v>
      </c>
    </row>
    <row r="171" customFormat="false" ht="15" hidden="false" customHeight="false" outlineLevel="0" collapsed="false">
      <c r="A171" s="18" t="n">
        <v>170</v>
      </c>
      <c r="B171" s="18" t="s">
        <v>27</v>
      </c>
      <c r="C171" s="18" t="s">
        <v>12</v>
      </c>
      <c r="D171" s="18" t="s">
        <v>15</v>
      </c>
      <c r="E171" s="18" t="s">
        <v>82</v>
      </c>
      <c r="F171" s="18" t="s">
        <v>82</v>
      </c>
      <c r="G171" s="18" t="s">
        <v>83</v>
      </c>
      <c r="H171" s="18" t="s">
        <v>83</v>
      </c>
      <c r="I171" s="18" t="s">
        <v>83</v>
      </c>
      <c r="J171" s="18" t="s">
        <v>51</v>
      </c>
      <c r="K171" s="18" t="s">
        <v>52</v>
      </c>
      <c r="L171" s="18" t="s">
        <v>54</v>
      </c>
    </row>
    <row r="172" customFormat="false" ht="15" hidden="false" customHeight="false" outlineLevel="0" collapsed="false">
      <c r="A172" s="18" t="n">
        <v>171</v>
      </c>
      <c r="B172" s="18" t="s">
        <v>28</v>
      </c>
      <c r="C172" s="18" t="s">
        <v>12</v>
      </c>
      <c r="D172" s="18" t="s">
        <v>15</v>
      </c>
      <c r="E172" s="18" t="s">
        <v>82</v>
      </c>
      <c r="F172" s="18" t="s">
        <v>82</v>
      </c>
      <c r="G172" s="18" t="s">
        <v>83</v>
      </c>
      <c r="H172" s="18" t="s">
        <v>83</v>
      </c>
      <c r="I172" s="18" t="s">
        <v>83</v>
      </c>
      <c r="J172" s="18" t="s">
        <v>56</v>
      </c>
      <c r="K172" s="18" t="s">
        <v>55</v>
      </c>
      <c r="L172" s="18" t="s">
        <v>56</v>
      </c>
    </row>
    <row r="173" customFormat="false" ht="15" hidden="false" customHeight="false" outlineLevel="0" collapsed="false">
      <c r="A173" s="18" t="n">
        <v>172</v>
      </c>
      <c r="B173" s="18" t="s">
        <v>43</v>
      </c>
      <c r="C173" s="18" t="s">
        <v>13</v>
      </c>
      <c r="D173" s="18" t="s">
        <v>16</v>
      </c>
      <c r="E173" s="18" t="s">
        <v>82</v>
      </c>
      <c r="F173" s="18" t="s">
        <v>82</v>
      </c>
      <c r="G173" s="18" t="s">
        <v>83</v>
      </c>
      <c r="H173" s="18" t="s">
        <v>83</v>
      </c>
      <c r="I173" s="18" t="s">
        <v>83</v>
      </c>
      <c r="J173" s="18" t="s">
        <v>54</v>
      </c>
      <c r="K173" s="18" t="s">
        <v>54</v>
      </c>
      <c r="L173" s="18" t="s">
        <v>55</v>
      </c>
    </row>
    <row r="174" customFormat="false" ht="15" hidden="false" customHeight="false" outlineLevel="0" collapsed="false">
      <c r="A174" s="18" t="n">
        <v>173</v>
      </c>
      <c r="B174" s="18" t="s">
        <v>44</v>
      </c>
      <c r="C174" s="18" t="s">
        <v>13</v>
      </c>
      <c r="D174" s="18" t="s">
        <v>16</v>
      </c>
      <c r="E174" s="18" t="s">
        <v>82</v>
      </c>
      <c r="F174" s="18" t="s">
        <v>82</v>
      </c>
      <c r="G174" s="18" t="s">
        <v>83</v>
      </c>
      <c r="H174" s="18" t="s">
        <v>83</v>
      </c>
      <c r="I174" s="18" t="s">
        <v>83</v>
      </c>
      <c r="J174" s="18" t="s">
        <v>54</v>
      </c>
      <c r="K174" s="18" t="s">
        <v>54</v>
      </c>
      <c r="L174" s="18" t="s">
        <v>54</v>
      </c>
    </row>
    <row r="175" customFormat="false" ht="15" hidden="false" customHeight="false" outlineLevel="0" collapsed="false">
      <c r="A175" s="18" t="n">
        <v>174</v>
      </c>
      <c r="B175" s="18" t="s">
        <v>29</v>
      </c>
      <c r="C175" s="18" t="s">
        <v>12</v>
      </c>
      <c r="D175" s="18" t="s">
        <v>15</v>
      </c>
      <c r="E175" s="18" t="s">
        <v>82</v>
      </c>
      <c r="F175" s="18" t="s">
        <v>82</v>
      </c>
      <c r="G175" s="18" t="s">
        <v>83</v>
      </c>
      <c r="H175" s="18" t="s">
        <v>83</v>
      </c>
      <c r="I175" s="18" t="s">
        <v>83</v>
      </c>
      <c r="J175" s="18" t="s">
        <v>56</v>
      </c>
      <c r="K175" s="18" t="s">
        <v>55</v>
      </c>
      <c r="L175" s="18" t="s">
        <v>53</v>
      </c>
    </row>
    <row r="176" customFormat="false" ht="15" hidden="false" customHeight="false" outlineLevel="0" collapsed="false">
      <c r="A176" s="18" t="n">
        <v>175</v>
      </c>
      <c r="B176" s="18" t="s">
        <v>40</v>
      </c>
      <c r="C176" s="18" t="s">
        <v>13</v>
      </c>
      <c r="D176" s="18" t="s">
        <v>15</v>
      </c>
      <c r="E176" s="18"/>
      <c r="F176" s="18" t="s">
        <v>87</v>
      </c>
      <c r="G176" s="18"/>
      <c r="H176" s="18" t="s">
        <v>84</v>
      </c>
      <c r="I176" s="18"/>
      <c r="J176" s="18"/>
      <c r="K176" s="18" t="s">
        <v>56</v>
      </c>
      <c r="L176" s="18"/>
    </row>
    <row r="177" customFormat="false" ht="15" hidden="false" customHeight="false" outlineLevel="0" collapsed="false">
      <c r="A177" s="18" t="n">
        <v>176</v>
      </c>
      <c r="B177" s="18" t="s">
        <v>42</v>
      </c>
      <c r="C177" s="18" t="s">
        <v>13</v>
      </c>
      <c r="D177" s="18" t="s">
        <v>16</v>
      </c>
      <c r="E177" s="18" t="s">
        <v>82</v>
      </c>
      <c r="F177" s="18" t="s">
        <v>82</v>
      </c>
      <c r="G177" s="18" t="s">
        <v>83</v>
      </c>
      <c r="H177" s="18" t="s">
        <v>83</v>
      </c>
      <c r="I177" s="18" t="s">
        <v>83</v>
      </c>
      <c r="J177" s="18" t="s">
        <v>55</v>
      </c>
      <c r="K177" s="18" t="s">
        <v>56</v>
      </c>
      <c r="L177" s="18" t="s">
        <v>54</v>
      </c>
    </row>
    <row r="178" customFormat="false" ht="15" hidden="false" customHeight="false" outlineLevel="0" collapsed="false">
      <c r="A178" s="18" t="n">
        <v>177</v>
      </c>
      <c r="B178" s="18" t="s">
        <v>36</v>
      </c>
      <c r="C178" s="18" t="s">
        <v>12</v>
      </c>
      <c r="D178" s="18" t="s">
        <v>16</v>
      </c>
      <c r="E178" s="18"/>
      <c r="F178" s="18" t="s">
        <v>87</v>
      </c>
      <c r="G178" s="18" t="s">
        <v>86</v>
      </c>
      <c r="H178" s="18" t="s">
        <v>84</v>
      </c>
      <c r="I178" s="18"/>
      <c r="J178" s="18" t="s">
        <v>57</v>
      </c>
      <c r="K178" s="18" t="s">
        <v>56</v>
      </c>
      <c r="L178" s="18"/>
    </row>
    <row r="179" customFormat="false" ht="15" hidden="false" customHeight="false" outlineLevel="0" collapsed="false">
      <c r="A179" s="18" t="n">
        <v>178</v>
      </c>
      <c r="B179" s="18" t="s">
        <v>30</v>
      </c>
      <c r="C179" s="18" t="s">
        <v>12</v>
      </c>
      <c r="D179" s="18" t="s">
        <v>15</v>
      </c>
      <c r="E179" s="18" t="s">
        <v>82</v>
      </c>
      <c r="F179" s="18" t="s">
        <v>82</v>
      </c>
      <c r="G179" s="18" t="s">
        <v>83</v>
      </c>
      <c r="H179" s="18" t="s">
        <v>83</v>
      </c>
      <c r="I179" s="18" t="s">
        <v>83</v>
      </c>
      <c r="J179" s="18" t="s">
        <v>53</v>
      </c>
      <c r="K179" s="18" t="s">
        <v>52</v>
      </c>
      <c r="L179" s="18" t="s">
        <v>52</v>
      </c>
    </row>
    <row r="180" customFormat="false" ht="15" hidden="false" customHeight="false" outlineLevel="0" collapsed="false">
      <c r="A180" s="18" t="n">
        <v>179</v>
      </c>
      <c r="B180" s="18" t="s">
        <v>27</v>
      </c>
      <c r="C180" s="18" t="s">
        <v>12</v>
      </c>
      <c r="D180" s="18" t="s">
        <v>15</v>
      </c>
      <c r="E180" s="18"/>
      <c r="F180" s="18"/>
      <c r="G180" s="18"/>
      <c r="H180" s="18"/>
      <c r="I180" s="18"/>
      <c r="J180" s="18"/>
      <c r="K180" s="18"/>
      <c r="L180" s="18"/>
    </row>
    <row r="181" customFormat="false" ht="15" hidden="false" customHeight="false" outlineLevel="0" collapsed="false">
      <c r="A181" s="18" t="n">
        <v>180</v>
      </c>
      <c r="B181" s="18" t="s">
        <v>43</v>
      </c>
      <c r="C181" s="18" t="s">
        <v>13</v>
      </c>
      <c r="D181" s="18" t="s">
        <v>16</v>
      </c>
      <c r="E181" s="18" t="s">
        <v>82</v>
      </c>
      <c r="F181" s="18" t="s">
        <v>82</v>
      </c>
      <c r="G181" s="18" t="s">
        <v>83</v>
      </c>
      <c r="H181" s="18" t="s">
        <v>83</v>
      </c>
      <c r="I181" s="18" t="s">
        <v>83</v>
      </c>
      <c r="J181" s="18" t="s">
        <v>54</v>
      </c>
      <c r="K181" s="18" t="s">
        <v>51</v>
      </c>
      <c r="L181" s="18" t="s">
        <v>52</v>
      </c>
    </row>
    <row r="182" customFormat="false" ht="15" hidden="false" customHeight="false" outlineLevel="0" collapsed="false">
      <c r="A182" s="18" t="n">
        <v>181</v>
      </c>
      <c r="B182" s="18" t="s">
        <v>40</v>
      </c>
      <c r="C182" s="18" t="s">
        <v>13</v>
      </c>
      <c r="D182" s="18" t="s">
        <v>15</v>
      </c>
      <c r="E182" s="18"/>
      <c r="F182" s="18"/>
      <c r="G182" s="18" t="s">
        <v>83</v>
      </c>
      <c r="H182" s="18"/>
      <c r="I182" s="18"/>
      <c r="J182" s="18" t="s">
        <v>56</v>
      </c>
      <c r="K182" s="18"/>
      <c r="L182" s="18"/>
    </row>
    <row r="183" customFormat="false" ht="15" hidden="false" customHeight="false" outlineLevel="0" collapsed="false">
      <c r="A183" s="18" t="n">
        <v>182</v>
      </c>
      <c r="B183" s="18" t="s">
        <v>40</v>
      </c>
      <c r="C183" s="18" t="s">
        <v>13</v>
      </c>
      <c r="D183" s="18" t="s">
        <v>15</v>
      </c>
      <c r="E183" s="18" t="s">
        <v>82</v>
      </c>
      <c r="F183" s="18" t="s">
        <v>82</v>
      </c>
      <c r="G183" s="18" t="s">
        <v>85</v>
      </c>
      <c r="H183" s="18" t="s">
        <v>83</v>
      </c>
      <c r="I183" s="18" t="s">
        <v>83</v>
      </c>
      <c r="J183" s="18" t="s">
        <v>56</v>
      </c>
      <c r="K183" s="18" t="s">
        <v>56</v>
      </c>
      <c r="L183" s="18" t="s">
        <v>56</v>
      </c>
    </row>
    <row r="184" customFormat="false" ht="15" hidden="false" customHeight="false" outlineLevel="0" collapsed="false">
      <c r="A184" s="18" t="n">
        <v>183</v>
      </c>
      <c r="B184" s="18" t="s">
        <v>34</v>
      </c>
      <c r="C184" s="18" t="s">
        <v>12</v>
      </c>
      <c r="D184" s="18" t="s">
        <v>16</v>
      </c>
      <c r="E184" s="18" t="s">
        <v>82</v>
      </c>
      <c r="F184" s="18" t="s">
        <v>82</v>
      </c>
      <c r="G184" s="18" t="s">
        <v>83</v>
      </c>
      <c r="H184" s="18" t="s">
        <v>83</v>
      </c>
      <c r="I184" s="18" t="s">
        <v>83</v>
      </c>
      <c r="J184" s="18" t="s">
        <v>56</v>
      </c>
      <c r="K184" s="18" t="s">
        <v>55</v>
      </c>
      <c r="L184" s="18" t="s">
        <v>53</v>
      </c>
    </row>
    <row r="185" customFormat="false" ht="15" hidden="false" customHeight="false" outlineLevel="0" collapsed="false">
      <c r="A185" s="18" t="n">
        <v>184</v>
      </c>
      <c r="B185" s="18" t="s">
        <v>29</v>
      </c>
      <c r="C185" s="18" t="s">
        <v>12</v>
      </c>
      <c r="D185" s="18" t="s">
        <v>15</v>
      </c>
      <c r="E185" s="18"/>
      <c r="F185" s="18" t="s">
        <v>82</v>
      </c>
      <c r="G185" s="18" t="s">
        <v>83</v>
      </c>
      <c r="H185" s="18" t="s">
        <v>83</v>
      </c>
      <c r="I185" s="18"/>
      <c r="J185" s="18" t="s">
        <v>55</v>
      </c>
      <c r="K185" s="18" t="s">
        <v>54</v>
      </c>
      <c r="L185" s="18"/>
    </row>
    <row r="186" customFormat="false" ht="15" hidden="false" customHeight="false" outlineLevel="0" collapsed="false">
      <c r="A186" s="18" t="n">
        <v>185</v>
      </c>
      <c r="B186" s="18" t="s">
        <v>40</v>
      </c>
      <c r="C186" s="18" t="s">
        <v>13</v>
      </c>
      <c r="D186" s="18" t="s">
        <v>15</v>
      </c>
      <c r="E186" s="18" t="s">
        <v>82</v>
      </c>
      <c r="F186" s="18" t="s">
        <v>82</v>
      </c>
      <c r="G186" s="18" t="s">
        <v>85</v>
      </c>
      <c r="H186" s="18" t="s">
        <v>83</v>
      </c>
      <c r="I186" s="18" t="s">
        <v>83</v>
      </c>
      <c r="J186" s="18" t="s">
        <v>56</v>
      </c>
      <c r="K186" s="18" t="s">
        <v>55</v>
      </c>
      <c r="L186" s="18" t="s">
        <v>56</v>
      </c>
    </row>
    <row r="187" customFormat="false" ht="15" hidden="false" customHeight="false" outlineLevel="0" collapsed="false">
      <c r="A187" s="18" t="n">
        <v>186</v>
      </c>
      <c r="B187" s="18" t="s">
        <v>45</v>
      </c>
      <c r="C187" s="18" t="s">
        <v>13</v>
      </c>
      <c r="D187" s="18" t="s">
        <v>16</v>
      </c>
      <c r="E187" s="18" t="s">
        <v>82</v>
      </c>
      <c r="F187" s="18" t="s">
        <v>82</v>
      </c>
      <c r="G187" s="18" t="s">
        <v>83</v>
      </c>
      <c r="H187" s="18" t="s">
        <v>83</v>
      </c>
      <c r="I187" s="18" t="s">
        <v>83</v>
      </c>
      <c r="J187" s="18" t="s">
        <v>54</v>
      </c>
      <c r="K187" s="18" t="s">
        <v>52</v>
      </c>
      <c r="L187" s="18" t="s">
        <v>55</v>
      </c>
    </row>
    <row r="188" customFormat="false" ht="15" hidden="false" customHeight="false" outlineLevel="0" collapsed="false">
      <c r="A188" s="18" t="n">
        <v>187</v>
      </c>
      <c r="B188" s="18" t="s">
        <v>35</v>
      </c>
      <c r="C188" s="18" t="s">
        <v>12</v>
      </c>
      <c r="D188" s="18" t="s">
        <v>16</v>
      </c>
      <c r="E188" s="18" t="s">
        <v>82</v>
      </c>
      <c r="F188" s="18" t="s">
        <v>82</v>
      </c>
      <c r="G188" s="18" t="s">
        <v>83</v>
      </c>
      <c r="H188" s="18" t="s">
        <v>83</v>
      </c>
      <c r="I188" s="18" t="s">
        <v>83</v>
      </c>
      <c r="J188" s="18" t="s">
        <v>56</v>
      </c>
      <c r="K188" s="18" t="s">
        <v>56</v>
      </c>
      <c r="L188" s="18" t="s">
        <v>53</v>
      </c>
    </row>
    <row r="189" customFormat="false" ht="15" hidden="false" customHeight="false" outlineLevel="0" collapsed="false">
      <c r="A189" s="18" t="n">
        <v>188</v>
      </c>
      <c r="B189" s="18" t="s">
        <v>28</v>
      </c>
      <c r="C189" s="18" t="s">
        <v>12</v>
      </c>
      <c r="D189" s="18" t="s">
        <v>15</v>
      </c>
      <c r="E189" s="18"/>
      <c r="F189" s="18"/>
      <c r="G189" s="18"/>
      <c r="H189" s="18"/>
      <c r="I189" s="18"/>
      <c r="J189" s="18"/>
      <c r="K189" s="18"/>
      <c r="L189" s="18"/>
    </row>
    <row r="190" customFormat="false" ht="15" hidden="false" customHeight="false" outlineLevel="0" collapsed="false">
      <c r="A190" s="18" t="n">
        <v>189</v>
      </c>
      <c r="B190" s="18" t="s">
        <v>40</v>
      </c>
      <c r="C190" s="18" t="s">
        <v>13</v>
      </c>
      <c r="D190" s="18" t="s">
        <v>15</v>
      </c>
      <c r="E190" s="18" t="s">
        <v>82</v>
      </c>
      <c r="F190" s="18" t="s">
        <v>82</v>
      </c>
      <c r="G190" s="18" t="s">
        <v>84</v>
      </c>
      <c r="H190" s="18" t="s">
        <v>85</v>
      </c>
      <c r="I190" s="18" t="s">
        <v>83</v>
      </c>
      <c r="J190" s="18" t="s">
        <v>56</v>
      </c>
      <c r="K190" s="18" t="s">
        <v>56</v>
      </c>
      <c r="L190" s="18" t="s">
        <v>56</v>
      </c>
    </row>
    <row r="191" customFormat="false" ht="15" hidden="false" customHeight="false" outlineLevel="0" collapsed="false">
      <c r="A191" s="18" t="n">
        <v>190</v>
      </c>
      <c r="B191" s="18" t="s">
        <v>42</v>
      </c>
      <c r="C191" s="18" t="s">
        <v>13</v>
      </c>
      <c r="D191" s="18" t="s">
        <v>16</v>
      </c>
      <c r="E191" s="18" t="s">
        <v>82</v>
      </c>
      <c r="F191" s="18" t="s">
        <v>82</v>
      </c>
      <c r="G191" s="18" t="s">
        <v>83</v>
      </c>
      <c r="H191" s="18" t="s">
        <v>83</v>
      </c>
      <c r="I191" s="18" t="s">
        <v>83</v>
      </c>
      <c r="J191" s="18" t="s">
        <v>54</v>
      </c>
      <c r="K191" s="18" t="s">
        <v>56</v>
      </c>
      <c r="L191" s="18" t="s">
        <v>54</v>
      </c>
    </row>
    <row r="192" customFormat="false" ht="15" hidden="false" customHeight="false" outlineLevel="0" collapsed="false">
      <c r="A192" s="18" t="n">
        <v>191</v>
      </c>
      <c r="B192" s="18" t="s">
        <v>45</v>
      </c>
      <c r="C192" s="18" t="s">
        <v>13</v>
      </c>
      <c r="D192" s="18" t="s">
        <v>16</v>
      </c>
      <c r="E192" s="18"/>
      <c r="F192" s="18"/>
      <c r="G192" s="18" t="s">
        <v>83</v>
      </c>
      <c r="H192" s="18"/>
      <c r="I192" s="18"/>
      <c r="J192" s="18" t="s">
        <v>56</v>
      </c>
      <c r="K192" s="18"/>
      <c r="L192" s="18"/>
    </row>
    <row r="193" customFormat="false" ht="15" hidden="false" customHeight="false" outlineLevel="0" collapsed="false">
      <c r="A193" s="18" t="n">
        <v>192</v>
      </c>
      <c r="B193" s="18" t="s">
        <v>34</v>
      </c>
      <c r="C193" s="18" t="s">
        <v>12</v>
      </c>
      <c r="D193" s="18" t="s">
        <v>16</v>
      </c>
      <c r="E193" s="18" t="s">
        <v>82</v>
      </c>
      <c r="F193" s="18" t="s">
        <v>82</v>
      </c>
      <c r="G193" s="18" t="s">
        <v>83</v>
      </c>
      <c r="H193" s="18" t="s">
        <v>83</v>
      </c>
      <c r="I193" s="18" t="s">
        <v>83</v>
      </c>
      <c r="J193" s="18" t="s">
        <v>51</v>
      </c>
      <c r="K193" s="18" t="s">
        <v>54</v>
      </c>
      <c r="L193" s="18" t="s">
        <v>53</v>
      </c>
    </row>
    <row r="194" customFormat="false" ht="15" hidden="false" customHeight="false" outlineLevel="0" collapsed="false">
      <c r="A194" s="18" t="n">
        <v>193</v>
      </c>
      <c r="B194" s="18" t="s">
        <v>40</v>
      </c>
      <c r="C194" s="18" t="s">
        <v>13</v>
      </c>
      <c r="D194" s="18" t="s">
        <v>15</v>
      </c>
      <c r="E194" s="18" t="s">
        <v>82</v>
      </c>
      <c r="F194" s="18" t="s">
        <v>82</v>
      </c>
      <c r="G194" s="18" t="s">
        <v>85</v>
      </c>
      <c r="H194" s="18" t="s">
        <v>83</v>
      </c>
      <c r="I194" s="18" t="s">
        <v>83</v>
      </c>
      <c r="J194" s="18" t="s">
        <v>56</v>
      </c>
      <c r="K194" s="18" t="s">
        <v>56</v>
      </c>
      <c r="L194" s="18" t="s">
        <v>56</v>
      </c>
    </row>
    <row r="195" customFormat="false" ht="15" hidden="false" customHeight="false" outlineLevel="0" collapsed="false">
      <c r="A195" s="18" t="n">
        <v>194</v>
      </c>
      <c r="B195" s="18" t="s">
        <v>28</v>
      </c>
      <c r="C195" s="18" t="s">
        <v>12</v>
      </c>
      <c r="D195" s="18" t="s">
        <v>15</v>
      </c>
      <c r="E195" s="18" t="s">
        <v>82</v>
      </c>
      <c r="F195" s="18" t="s">
        <v>82</v>
      </c>
      <c r="G195" s="18"/>
      <c r="H195" s="18" t="s">
        <v>86</v>
      </c>
      <c r="I195" s="18" t="s">
        <v>84</v>
      </c>
      <c r="J195" s="18"/>
      <c r="K195" s="18" t="s">
        <v>57</v>
      </c>
      <c r="L195" s="18" t="s">
        <v>56</v>
      </c>
    </row>
    <row r="196" customFormat="false" ht="15" hidden="false" customHeight="false" outlineLevel="0" collapsed="false">
      <c r="A196" s="18" t="n">
        <v>195</v>
      </c>
      <c r="B196" s="18" t="s">
        <v>38</v>
      </c>
      <c r="C196" s="18" t="s">
        <v>12</v>
      </c>
      <c r="D196" s="18" t="s">
        <v>15</v>
      </c>
      <c r="E196" s="18" t="s">
        <v>82</v>
      </c>
      <c r="F196" s="18" t="s">
        <v>82</v>
      </c>
      <c r="G196" s="18" t="s">
        <v>83</v>
      </c>
      <c r="H196" s="18" t="s">
        <v>83</v>
      </c>
      <c r="I196" s="18" t="s">
        <v>83</v>
      </c>
      <c r="J196" s="18" t="s">
        <v>53</v>
      </c>
      <c r="K196" s="18" t="s">
        <v>52</v>
      </c>
      <c r="L196" s="18" t="s">
        <v>52</v>
      </c>
    </row>
    <row r="197" customFormat="false" ht="15" hidden="false" customHeight="false" outlineLevel="0" collapsed="false">
      <c r="A197" s="18" t="n">
        <v>196</v>
      </c>
      <c r="B197" s="18" t="s">
        <v>37</v>
      </c>
      <c r="C197" s="18" t="s">
        <v>12</v>
      </c>
      <c r="D197" s="18" t="s">
        <v>16</v>
      </c>
      <c r="E197" s="18" t="s">
        <v>82</v>
      </c>
      <c r="F197" s="18" t="s">
        <v>82</v>
      </c>
      <c r="G197" s="18" t="s">
        <v>83</v>
      </c>
      <c r="H197" s="18" t="s">
        <v>83</v>
      </c>
      <c r="I197" s="18" t="s">
        <v>83</v>
      </c>
      <c r="J197" s="18" t="s">
        <v>52</v>
      </c>
      <c r="K197" s="18" t="s">
        <v>52</v>
      </c>
      <c r="L197" s="18" t="s">
        <v>52</v>
      </c>
    </row>
    <row r="198" customFormat="false" ht="15" hidden="false" customHeight="false" outlineLevel="0" collapsed="false">
      <c r="A198" s="18" t="n">
        <v>197</v>
      </c>
      <c r="B198" s="18" t="s">
        <v>28</v>
      </c>
      <c r="C198" s="18" t="s">
        <v>12</v>
      </c>
      <c r="D198" s="18" t="s">
        <v>15</v>
      </c>
      <c r="E198" s="18" t="s">
        <v>82</v>
      </c>
      <c r="F198" s="18" t="s">
        <v>82</v>
      </c>
      <c r="G198" s="18" t="s">
        <v>83</v>
      </c>
      <c r="H198" s="18" t="s">
        <v>83</v>
      </c>
      <c r="I198" s="18" t="s">
        <v>83</v>
      </c>
      <c r="J198" s="18" t="s">
        <v>51</v>
      </c>
      <c r="K198" s="18" t="s">
        <v>52</v>
      </c>
      <c r="L198" s="18" t="s">
        <v>52</v>
      </c>
    </row>
    <row r="199" customFormat="false" ht="15" hidden="false" customHeight="false" outlineLevel="0" collapsed="false">
      <c r="A199" s="18" t="n">
        <v>198</v>
      </c>
      <c r="B199" s="18" t="s">
        <v>37</v>
      </c>
      <c r="C199" s="18" t="s">
        <v>12</v>
      </c>
      <c r="D199" s="18" t="s">
        <v>16</v>
      </c>
      <c r="E199" s="18" t="s">
        <v>82</v>
      </c>
      <c r="F199" s="18" t="s">
        <v>82</v>
      </c>
      <c r="G199" s="18" t="s">
        <v>83</v>
      </c>
      <c r="H199" s="18" t="s">
        <v>83</v>
      </c>
      <c r="I199" s="18" t="s">
        <v>83</v>
      </c>
      <c r="J199" s="18" t="s">
        <v>53</v>
      </c>
      <c r="K199" s="18" t="s">
        <v>53</v>
      </c>
      <c r="L199" s="18" t="s">
        <v>55</v>
      </c>
    </row>
    <row r="200" customFormat="false" ht="15" hidden="false" customHeight="false" outlineLevel="0" collapsed="false">
      <c r="A200" s="18" t="n">
        <v>199</v>
      </c>
      <c r="B200" s="18" t="s">
        <v>41</v>
      </c>
      <c r="C200" s="18" t="s">
        <v>13</v>
      </c>
      <c r="D200" s="18" t="s">
        <v>16</v>
      </c>
      <c r="E200" s="18" t="s">
        <v>82</v>
      </c>
      <c r="F200" s="18" t="s">
        <v>82</v>
      </c>
      <c r="G200" s="18" t="s">
        <v>85</v>
      </c>
      <c r="H200" s="18" t="s">
        <v>83</v>
      </c>
      <c r="I200" s="18" t="s">
        <v>83</v>
      </c>
      <c r="J200" s="18" t="s">
        <v>54</v>
      </c>
      <c r="K200" s="18" t="s">
        <v>55</v>
      </c>
      <c r="L200" s="18" t="s">
        <v>55</v>
      </c>
    </row>
    <row r="201" customFormat="false" ht="15" hidden="false" customHeight="false" outlineLevel="0" collapsed="false">
      <c r="A201" s="18" t="n">
        <v>200</v>
      </c>
      <c r="B201" s="18" t="s">
        <v>44</v>
      </c>
      <c r="C201" s="18" t="s">
        <v>13</v>
      </c>
      <c r="D201" s="18" t="s">
        <v>16</v>
      </c>
      <c r="E201" s="18" t="s">
        <v>82</v>
      </c>
      <c r="F201" s="18" t="s">
        <v>82</v>
      </c>
      <c r="G201" s="18" t="s">
        <v>83</v>
      </c>
      <c r="H201" s="18" t="s">
        <v>83</v>
      </c>
      <c r="I201" s="18" t="s">
        <v>83</v>
      </c>
      <c r="J201" s="18" t="s">
        <v>51</v>
      </c>
      <c r="K201" s="18" t="s">
        <v>52</v>
      </c>
      <c r="L201" s="18" t="s">
        <v>53</v>
      </c>
    </row>
    <row r="202" customFormat="false" ht="15" hidden="false" customHeight="false" outlineLevel="0" collapsed="false">
      <c r="A202" s="18" t="n">
        <v>201</v>
      </c>
      <c r="B202" s="18" t="s">
        <v>26</v>
      </c>
      <c r="C202" s="18" t="s">
        <v>12</v>
      </c>
      <c r="D202" s="18" t="s">
        <v>15</v>
      </c>
      <c r="E202" s="18" t="s">
        <v>82</v>
      </c>
      <c r="F202" s="18" t="s">
        <v>82</v>
      </c>
      <c r="G202" s="18"/>
      <c r="H202" s="18" t="s">
        <v>86</v>
      </c>
      <c r="I202" s="18" t="s">
        <v>84</v>
      </c>
      <c r="J202" s="18"/>
      <c r="K202" s="18" t="s">
        <v>57</v>
      </c>
      <c r="L202" s="18" t="s">
        <v>56</v>
      </c>
    </row>
    <row r="203" customFormat="false" ht="15" hidden="false" customHeight="false" outlineLevel="0" collapsed="false">
      <c r="A203" s="18" t="n">
        <v>202</v>
      </c>
      <c r="B203" s="18" t="s">
        <v>42</v>
      </c>
      <c r="C203" s="18" t="s">
        <v>13</v>
      </c>
      <c r="D203" s="18" t="s">
        <v>16</v>
      </c>
      <c r="E203" s="18" t="s">
        <v>82</v>
      </c>
      <c r="F203" s="18" t="s">
        <v>82</v>
      </c>
      <c r="G203" s="18" t="s">
        <v>84</v>
      </c>
      <c r="H203" s="18" t="s">
        <v>85</v>
      </c>
      <c r="I203" s="18" t="s">
        <v>83</v>
      </c>
      <c r="J203" s="18" t="s">
        <v>56</v>
      </c>
      <c r="K203" s="18" t="s">
        <v>54</v>
      </c>
      <c r="L203" s="18" t="s">
        <v>54</v>
      </c>
    </row>
    <row r="204" customFormat="false" ht="15" hidden="false" customHeight="false" outlineLevel="0" collapsed="false">
      <c r="A204" s="18" t="n">
        <v>203</v>
      </c>
      <c r="B204" s="18" t="s">
        <v>34</v>
      </c>
      <c r="C204" s="18" t="s">
        <v>12</v>
      </c>
      <c r="D204" s="18" t="s">
        <v>16</v>
      </c>
      <c r="E204" s="18" t="s">
        <v>82</v>
      </c>
      <c r="F204" s="18" t="s">
        <v>82</v>
      </c>
      <c r="G204" s="18" t="s">
        <v>85</v>
      </c>
      <c r="H204" s="18" t="s">
        <v>83</v>
      </c>
      <c r="I204" s="18" t="s">
        <v>83</v>
      </c>
      <c r="J204" s="18" t="s">
        <v>52</v>
      </c>
      <c r="K204" s="18" t="s">
        <v>54</v>
      </c>
      <c r="L204" s="18" t="s">
        <v>53</v>
      </c>
    </row>
    <row r="205" customFormat="false" ht="15" hidden="false" customHeight="false" outlineLevel="0" collapsed="false">
      <c r="A205" s="18" t="n">
        <v>204</v>
      </c>
      <c r="B205" s="18" t="s">
        <v>40</v>
      </c>
      <c r="C205" s="18" t="s">
        <v>13</v>
      </c>
      <c r="D205" s="18" t="s">
        <v>15</v>
      </c>
      <c r="E205" s="18" t="s">
        <v>82</v>
      </c>
      <c r="F205" s="18" t="s">
        <v>82</v>
      </c>
      <c r="G205" s="18" t="s">
        <v>85</v>
      </c>
      <c r="H205" s="18" t="s">
        <v>83</v>
      </c>
      <c r="I205" s="18" t="s">
        <v>83</v>
      </c>
      <c r="J205" s="18" t="s">
        <v>56</v>
      </c>
      <c r="K205" s="18" t="s">
        <v>54</v>
      </c>
      <c r="L205" s="18" t="s">
        <v>56</v>
      </c>
    </row>
    <row r="206" customFormat="false" ht="15" hidden="false" customHeight="false" outlineLevel="0" collapsed="false">
      <c r="A206" s="18" t="n">
        <v>205</v>
      </c>
      <c r="B206" s="18" t="s">
        <v>40</v>
      </c>
      <c r="C206" s="18" t="s">
        <v>13</v>
      </c>
      <c r="D206" s="18" t="s">
        <v>15</v>
      </c>
      <c r="E206" s="18" t="s">
        <v>82</v>
      </c>
      <c r="F206" s="18" t="s">
        <v>82</v>
      </c>
      <c r="G206" s="18"/>
      <c r="H206" s="18" t="s">
        <v>86</v>
      </c>
      <c r="I206" s="18" t="s">
        <v>84</v>
      </c>
      <c r="J206" s="18"/>
      <c r="K206" s="18" t="s">
        <v>57</v>
      </c>
      <c r="L206" s="18" t="s">
        <v>56</v>
      </c>
    </row>
    <row r="207" customFormat="false" ht="15" hidden="false" customHeight="false" outlineLevel="0" collapsed="false">
      <c r="A207" s="18" t="n">
        <v>206</v>
      </c>
      <c r="B207" s="18" t="s">
        <v>30</v>
      </c>
      <c r="C207" s="18" t="s">
        <v>12</v>
      </c>
      <c r="D207" s="18" t="s">
        <v>15</v>
      </c>
      <c r="E207" s="18"/>
      <c r="F207" s="18" t="s">
        <v>82</v>
      </c>
      <c r="G207" s="18" t="s">
        <v>83</v>
      </c>
      <c r="H207" s="18" t="s">
        <v>83</v>
      </c>
      <c r="I207" s="18"/>
      <c r="J207" s="18" t="s">
        <v>56</v>
      </c>
      <c r="K207" s="18" t="s">
        <v>56</v>
      </c>
      <c r="L207" s="18"/>
    </row>
    <row r="208" customFormat="false" ht="15" hidden="false" customHeight="false" outlineLevel="0" collapsed="false">
      <c r="A208" s="18" t="n">
        <v>207</v>
      </c>
      <c r="B208" s="18" t="s">
        <v>25</v>
      </c>
      <c r="C208" s="18" t="s">
        <v>12</v>
      </c>
      <c r="D208" s="18" t="s">
        <v>15</v>
      </c>
      <c r="E208" s="18"/>
      <c r="F208" s="18" t="s">
        <v>87</v>
      </c>
      <c r="G208" s="18" t="s">
        <v>83</v>
      </c>
      <c r="H208" s="18" t="s">
        <v>83</v>
      </c>
      <c r="I208" s="18"/>
      <c r="J208" s="18" t="s">
        <v>56</v>
      </c>
      <c r="K208" s="18" t="s">
        <v>56</v>
      </c>
      <c r="L208" s="18"/>
    </row>
    <row r="209" customFormat="false" ht="15" hidden="false" customHeight="false" outlineLevel="0" collapsed="false">
      <c r="A209" s="18" t="n">
        <v>208</v>
      </c>
      <c r="B209" s="18" t="s">
        <v>32</v>
      </c>
      <c r="C209" s="18" t="s">
        <v>12</v>
      </c>
      <c r="D209" s="18" t="s">
        <v>16</v>
      </c>
      <c r="E209" s="18" t="s">
        <v>82</v>
      </c>
      <c r="F209" s="18" t="s">
        <v>82</v>
      </c>
      <c r="G209" s="18" t="s">
        <v>83</v>
      </c>
      <c r="H209" s="18" t="s">
        <v>83</v>
      </c>
      <c r="I209" s="18" t="s">
        <v>83</v>
      </c>
      <c r="J209" s="18" t="s">
        <v>54</v>
      </c>
      <c r="K209" s="18" t="s">
        <v>53</v>
      </c>
      <c r="L209" s="18" t="s">
        <v>52</v>
      </c>
    </row>
    <row r="210" customFormat="false" ht="15" hidden="false" customHeight="false" outlineLevel="0" collapsed="false">
      <c r="A210" s="18" t="n">
        <v>209</v>
      </c>
      <c r="B210" s="18" t="s">
        <v>40</v>
      </c>
      <c r="C210" s="18" t="s">
        <v>13</v>
      </c>
      <c r="D210" s="18" t="s">
        <v>15</v>
      </c>
      <c r="E210" s="18"/>
      <c r="F210" s="18" t="s">
        <v>87</v>
      </c>
      <c r="G210" s="18" t="s">
        <v>84</v>
      </c>
      <c r="H210" s="18" t="s">
        <v>85</v>
      </c>
      <c r="I210" s="18"/>
      <c r="J210" s="18" t="s">
        <v>56</v>
      </c>
      <c r="K210" s="18" t="s">
        <v>56</v>
      </c>
      <c r="L210" s="18"/>
    </row>
    <row r="211" customFormat="false" ht="15" hidden="false" customHeight="false" outlineLevel="0" collapsed="false">
      <c r="A211" s="18" t="n">
        <v>210</v>
      </c>
      <c r="B211" s="18" t="s">
        <v>40</v>
      </c>
      <c r="C211" s="18" t="s">
        <v>13</v>
      </c>
      <c r="D211" s="18" t="s">
        <v>15</v>
      </c>
      <c r="E211" s="18"/>
      <c r="F211" s="18"/>
      <c r="G211" s="18" t="s">
        <v>84</v>
      </c>
      <c r="H211" s="18"/>
      <c r="I211" s="18"/>
      <c r="J211" s="18" t="s">
        <v>56</v>
      </c>
      <c r="K211" s="18"/>
      <c r="L211" s="18"/>
    </row>
    <row r="212" customFormat="false" ht="15" hidden="false" customHeight="false" outlineLevel="0" collapsed="false">
      <c r="A212" s="18" t="n">
        <v>211</v>
      </c>
      <c r="B212" s="18" t="s">
        <v>40</v>
      </c>
      <c r="C212" s="18" t="s">
        <v>13</v>
      </c>
      <c r="D212" s="18" t="s">
        <v>15</v>
      </c>
      <c r="E212" s="18" t="s">
        <v>82</v>
      </c>
      <c r="F212" s="18" t="s">
        <v>82</v>
      </c>
      <c r="G212" s="18" t="s">
        <v>86</v>
      </c>
      <c r="H212" s="18" t="s">
        <v>84</v>
      </c>
      <c r="I212" s="18" t="s">
        <v>85</v>
      </c>
      <c r="J212" s="18" t="s">
        <v>57</v>
      </c>
      <c r="K212" s="18" t="s">
        <v>56</v>
      </c>
      <c r="L212" s="18" t="s">
        <v>56</v>
      </c>
    </row>
    <row r="213" customFormat="false" ht="15" hidden="false" customHeight="false" outlineLevel="0" collapsed="false">
      <c r="A213" s="18" t="n">
        <v>212</v>
      </c>
      <c r="B213" s="18" t="s">
        <v>27</v>
      </c>
      <c r="C213" s="18" t="s">
        <v>12</v>
      </c>
      <c r="D213" s="18" t="s">
        <v>15</v>
      </c>
      <c r="E213" s="18" t="s">
        <v>82</v>
      </c>
      <c r="F213" s="18" t="s">
        <v>82</v>
      </c>
      <c r="G213" s="18" t="s">
        <v>83</v>
      </c>
      <c r="H213" s="18" t="s">
        <v>83</v>
      </c>
      <c r="I213" s="18" t="s">
        <v>83</v>
      </c>
      <c r="J213" s="18" t="s">
        <v>56</v>
      </c>
      <c r="K213" s="18" t="s">
        <v>56</v>
      </c>
      <c r="L213" s="18" t="s">
        <v>56</v>
      </c>
    </row>
    <row r="214" customFormat="false" ht="15" hidden="false" customHeight="false" outlineLevel="0" collapsed="false">
      <c r="A214" s="18" t="n">
        <v>213</v>
      </c>
      <c r="B214" s="18" t="s">
        <v>36</v>
      </c>
      <c r="C214" s="18" t="s">
        <v>12</v>
      </c>
      <c r="D214" s="18" t="s">
        <v>16</v>
      </c>
      <c r="E214" s="18" t="s">
        <v>82</v>
      </c>
      <c r="F214" s="18" t="s">
        <v>82</v>
      </c>
      <c r="G214" s="18" t="s">
        <v>83</v>
      </c>
      <c r="H214" s="18" t="s">
        <v>83</v>
      </c>
      <c r="I214" s="18" t="s">
        <v>83</v>
      </c>
      <c r="J214" s="18" t="s">
        <v>53</v>
      </c>
      <c r="K214" s="18" t="s">
        <v>55</v>
      </c>
      <c r="L214" s="18" t="s">
        <v>54</v>
      </c>
    </row>
    <row r="215" customFormat="false" ht="15" hidden="false" customHeight="false" outlineLevel="0" collapsed="false">
      <c r="A215" s="18" t="n">
        <v>214</v>
      </c>
      <c r="B215" s="18" t="s">
        <v>31</v>
      </c>
      <c r="C215" s="18" t="s">
        <v>12</v>
      </c>
      <c r="D215" s="18" t="s">
        <v>15</v>
      </c>
      <c r="E215" s="18" t="s">
        <v>82</v>
      </c>
      <c r="F215" s="18" t="s">
        <v>82</v>
      </c>
      <c r="G215" s="18" t="s">
        <v>83</v>
      </c>
      <c r="H215" s="18" t="s">
        <v>83</v>
      </c>
      <c r="I215" s="18" t="s">
        <v>83</v>
      </c>
      <c r="J215" s="18" t="s">
        <v>55</v>
      </c>
      <c r="K215" s="18" t="s">
        <v>53</v>
      </c>
      <c r="L215" s="18" t="s">
        <v>52</v>
      </c>
    </row>
    <row r="216" customFormat="false" ht="15" hidden="false" customHeight="false" outlineLevel="0" collapsed="false">
      <c r="A216" s="18" t="n">
        <v>215</v>
      </c>
      <c r="B216" s="18" t="s">
        <v>26</v>
      </c>
      <c r="C216" s="18" t="s">
        <v>12</v>
      </c>
      <c r="D216" s="18" t="s">
        <v>15</v>
      </c>
      <c r="E216" s="18" t="s">
        <v>82</v>
      </c>
      <c r="F216" s="18" t="s">
        <v>82</v>
      </c>
      <c r="G216" s="18" t="s">
        <v>83</v>
      </c>
      <c r="H216" s="18" t="s">
        <v>83</v>
      </c>
      <c r="I216" s="18" t="s">
        <v>83</v>
      </c>
      <c r="J216" s="18" t="s">
        <v>52</v>
      </c>
      <c r="K216" s="18" t="s">
        <v>51</v>
      </c>
      <c r="L216" s="18" t="s">
        <v>52</v>
      </c>
    </row>
    <row r="217" customFormat="false" ht="15" hidden="false" customHeight="false" outlineLevel="0" collapsed="false">
      <c r="A217" s="18" t="n">
        <v>216</v>
      </c>
      <c r="B217" s="18" t="s">
        <v>37</v>
      </c>
      <c r="C217" s="18" t="s">
        <v>12</v>
      </c>
      <c r="D217" s="18" t="s">
        <v>16</v>
      </c>
      <c r="E217" s="18" t="s">
        <v>82</v>
      </c>
      <c r="F217" s="18" t="s">
        <v>82</v>
      </c>
      <c r="G217" s="18" t="s">
        <v>83</v>
      </c>
      <c r="H217" s="18" t="s">
        <v>83</v>
      </c>
      <c r="I217" s="18" t="s">
        <v>83</v>
      </c>
      <c r="J217" s="18" t="s">
        <v>56</v>
      </c>
      <c r="K217" s="18" t="s">
        <v>54</v>
      </c>
      <c r="L217" s="18" t="s">
        <v>56</v>
      </c>
    </row>
    <row r="218" customFormat="false" ht="15" hidden="false" customHeight="false" outlineLevel="0" collapsed="false">
      <c r="A218" s="18" t="n">
        <v>217</v>
      </c>
      <c r="B218" s="18" t="s">
        <v>40</v>
      </c>
      <c r="C218" s="18" t="s">
        <v>13</v>
      </c>
      <c r="D218" s="18" t="s">
        <v>15</v>
      </c>
      <c r="E218" s="18" t="s">
        <v>82</v>
      </c>
      <c r="F218" s="18"/>
      <c r="G218" s="18"/>
      <c r="H218" s="18"/>
      <c r="I218" s="18" t="s">
        <v>84</v>
      </c>
      <c r="J218" s="18"/>
      <c r="K218" s="18"/>
      <c r="L218" s="18" t="s">
        <v>56</v>
      </c>
    </row>
    <row r="219" customFormat="false" ht="15" hidden="false" customHeight="false" outlineLevel="0" collapsed="false">
      <c r="A219" s="18" t="n">
        <v>218</v>
      </c>
      <c r="B219" s="18" t="s">
        <v>41</v>
      </c>
      <c r="C219" s="18" t="s">
        <v>13</v>
      </c>
      <c r="D219" s="18" t="s">
        <v>16</v>
      </c>
      <c r="E219" s="18" t="s">
        <v>82</v>
      </c>
      <c r="F219" s="18" t="s">
        <v>82</v>
      </c>
      <c r="G219" s="18"/>
      <c r="H219" s="18" t="s">
        <v>84</v>
      </c>
      <c r="I219" s="18" t="s">
        <v>85</v>
      </c>
      <c r="J219" s="18"/>
      <c r="K219" s="18" t="s">
        <v>56</v>
      </c>
      <c r="L219" s="18" t="s">
        <v>56</v>
      </c>
    </row>
    <row r="220" customFormat="false" ht="15" hidden="false" customHeight="false" outlineLevel="0" collapsed="false">
      <c r="A220" s="18" t="n">
        <v>219</v>
      </c>
      <c r="B220" s="18" t="s">
        <v>33</v>
      </c>
      <c r="C220" s="18" t="s">
        <v>12</v>
      </c>
      <c r="D220" s="18" t="s">
        <v>16</v>
      </c>
      <c r="E220" s="18" t="s">
        <v>82</v>
      </c>
      <c r="F220" s="18" t="s">
        <v>82</v>
      </c>
      <c r="G220" s="18" t="s">
        <v>83</v>
      </c>
      <c r="H220" s="18" t="s">
        <v>83</v>
      </c>
      <c r="I220" s="18" t="s">
        <v>83</v>
      </c>
      <c r="J220" s="18" t="s">
        <v>52</v>
      </c>
      <c r="K220" s="18" t="s">
        <v>54</v>
      </c>
      <c r="L220" s="18" t="s">
        <v>54</v>
      </c>
    </row>
    <row r="221" customFormat="false" ht="15" hidden="false" customHeight="false" outlineLevel="0" collapsed="false">
      <c r="A221" s="18" t="n">
        <v>220</v>
      </c>
      <c r="B221" s="18" t="s">
        <v>40</v>
      </c>
      <c r="C221" s="18" t="s">
        <v>13</v>
      </c>
      <c r="D221" s="18" t="s">
        <v>15</v>
      </c>
      <c r="E221" s="18" t="s">
        <v>82</v>
      </c>
      <c r="F221" s="18" t="s">
        <v>82</v>
      </c>
      <c r="G221" s="18" t="s">
        <v>83</v>
      </c>
      <c r="H221" s="18" t="s">
        <v>83</v>
      </c>
      <c r="I221" s="18" t="s">
        <v>83</v>
      </c>
      <c r="J221" s="18" t="s">
        <v>52</v>
      </c>
      <c r="K221" s="18" t="s">
        <v>53</v>
      </c>
      <c r="L221" s="18" t="s">
        <v>52</v>
      </c>
    </row>
    <row r="222" customFormat="false" ht="15" hidden="false" customHeight="false" outlineLevel="0" collapsed="false">
      <c r="A222" s="18" t="n">
        <v>221</v>
      </c>
      <c r="B222" s="18" t="s">
        <v>40</v>
      </c>
      <c r="C222" s="18" t="s">
        <v>13</v>
      </c>
      <c r="D222" s="18" t="s">
        <v>15</v>
      </c>
      <c r="E222" s="18" t="s">
        <v>82</v>
      </c>
      <c r="F222" s="18" t="s">
        <v>82</v>
      </c>
      <c r="G222" s="18" t="s">
        <v>83</v>
      </c>
      <c r="H222" s="18" t="s">
        <v>83</v>
      </c>
      <c r="I222" s="18" t="s">
        <v>83</v>
      </c>
      <c r="J222" s="18" t="s">
        <v>55</v>
      </c>
      <c r="K222" s="18" t="s">
        <v>55</v>
      </c>
      <c r="L222" s="18" t="s">
        <v>55</v>
      </c>
    </row>
    <row r="223" customFormat="false" ht="15" hidden="false" customHeight="false" outlineLevel="0" collapsed="false">
      <c r="A223" s="18" t="n">
        <v>222</v>
      </c>
      <c r="B223" s="18" t="s">
        <v>32</v>
      </c>
      <c r="C223" s="18" t="s">
        <v>12</v>
      </c>
      <c r="D223" s="18" t="s">
        <v>16</v>
      </c>
      <c r="E223" s="18" t="s">
        <v>82</v>
      </c>
      <c r="F223" s="18" t="s">
        <v>82</v>
      </c>
      <c r="G223" s="18" t="s">
        <v>83</v>
      </c>
      <c r="H223" s="18" t="s">
        <v>83</v>
      </c>
      <c r="I223" s="18" t="s">
        <v>83</v>
      </c>
      <c r="J223" s="18" t="s">
        <v>53</v>
      </c>
      <c r="K223" s="18" t="s">
        <v>53</v>
      </c>
      <c r="L223" s="18" t="s">
        <v>53</v>
      </c>
    </row>
    <row r="224" customFormat="false" ht="15" hidden="false" customHeight="false" outlineLevel="0" collapsed="false">
      <c r="A224" s="18" t="n">
        <v>223</v>
      </c>
      <c r="B224" s="18" t="s">
        <v>44</v>
      </c>
      <c r="C224" s="18" t="s">
        <v>13</v>
      </c>
      <c r="D224" s="18" t="s">
        <v>16</v>
      </c>
      <c r="E224" s="18"/>
      <c r="F224" s="18" t="s">
        <v>87</v>
      </c>
      <c r="G224" s="18"/>
      <c r="H224" s="18" t="s">
        <v>86</v>
      </c>
      <c r="I224" s="18"/>
      <c r="J224" s="18"/>
      <c r="K224" s="18" t="s">
        <v>57</v>
      </c>
      <c r="L224" s="18"/>
    </row>
    <row r="225" customFormat="false" ht="15" hidden="false" customHeight="false" outlineLevel="0" collapsed="false">
      <c r="A225" s="18" t="n">
        <v>224</v>
      </c>
      <c r="B225" s="18" t="s">
        <v>28</v>
      </c>
      <c r="C225" s="18" t="s">
        <v>12</v>
      </c>
      <c r="D225" s="18" t="s">
        <v>15</v>
      </c>
      <c r="E225" s="18" t="s">
        <v>82</v>
      </c>
      <c r="F225" s="18" t="s">
        <v>82</v>
      </c>
      <c r="G225" s="18" t="s">
        <v>85</v>
      </c>
      <c r="H225" s="18" t="s">
        <v>83</v>
      </c>
      <c r="I225" s="18" t="s">
        <v>83</v>
      </c>
      <c r="J225" s="18" t="s">
        <v>53</v>
      </c>
      <c r="K225" s="18" t="s">
        <v>52</v>
      </c>
      <c r="L225" s="18" t="s">
        <v>51</v>
      </c>
    </row>
    <row r="226" customFormat="false" ht="15" hidden="false" customHeight="false" outlineLevel="0" collapsed="false">
      <c r="A226" s="18" t="n">
        <v>225</v>
      </c>
      <c r="B226" s="18" t="s">
        <v>42</v>
      </c>
      <c r="C226" s="18" t="s">
        <v>13</v>
      </c>
      <c r="D226" s="18" t="s">
        <v>16</v>
      </c>
      <c r="E226" s="18" t="s">
        <v>82</v>
      </c>
      <c r="F226" s="18" t="s">
        <v>82</v>
      </c>
      <c r="G226" s="18"/>
      <c r="H226" s="18" t="s">
        <v>86</v>
      </c>
      <c r="I226" s="18" t="s">
        <v>84</v>
      </c>
      <c r="J226" s="18"/>
      <c r="K226" s="18" t="s">
        <v>57</v>
      </c>
      <c r="L226" s="18" t="s">
        <v>56</v>
      </c>
    </row>
    <row r="227" customFormat="false" ht="15" hidden="false" customHeight="false" outlineLevel="0" collapsed="false">
      <c r="A227" s="18" t="n">
        <v>226</v>
      </c>
      <c r="B227" s="18" t="s">
        <v>42</v>
      </c>
      <c r="C227" s="18" t="s">
        <v>13</v>
      </c>
      <c r="D227" s="18" t="s">
        <v>16</v>
      </c>
      <c r="E227" s="18" t="s">
        <v>82</v>
      </c>
      <c r="F227" s="18" t="s">
        <v>82</v>
      </c>
      <c r="G227" s="18" t="s">
        <v>83</v>
      </c>
      <c r="H227" s="18" t="s">
        <v>83</v>
      </c>
      <c r="I227" s="18" t="s">
        <v>83</v>
      </c>
      <c r="J227" s="18" t="s">
        <v>53</v>
      </c>
      <c r="K227" s="18" t="s">
        <v>54</v>
      </c>
      <c r="L227" s="18" t="s">
        <v>53</v>
      </c>
    </row>
    <row r="228" customFormat="false" ht="15" hidden="false" customHeight="false" outlineLevel="0" collapsed="false">
      <c r="A228" s="18" t="n">
        <v>227</v>
      </c>
      <c r="B228" s="18" t="s">
        <v>42</v>
      </c>
      <c r="C228" s="18" t="s">
        <v>13</v>
      </c>
      <c r="D228" s="18" t="s">
        <v>16</v>
      </c>
      <c r="E228" s="18" t="s">
        <v>82</v>
      </c>
      <c r="F228" s="18" t="s">
        <v>82</v>
      </c>
      <c r="G228" s="18" t="s">
        <v>83</v>
      </c>
      <c r="H228" s="18" t="s">
        <v>83</v>
      </c>
      <c r="I228" s="18" t="s">
        <v>83</v>
      </c>
      <c r="J228" s="18" t="s">
        <v>51</v>
      </c>
      <c r="K228" s="18" t="s">
        <v>54</v>
      </c>
      <c r="L228" s="18" t="s">
        <v>54</v>
      </c>
    </row>
    <row r="229" customFormat="false" ht="15" hidden="false" customHeight="false" outlineLevel="0" collapsed="false">
      <c r="A229" s="18" t="n">
        <v>228</v>
      </c>
      <c r="B229" s="18" t="s">
        <v>40</v>
      </c>
      <c r="C229" s="18" t="s">
        <v>13</v>
      </c>
      <c r="D229" s="18" t="s">
        <v>15</v>
      </c>
      <c r="E229" s="18" t="s">
        <v>87</v>
      </c>
      <c r="F229" s="18" t="s">
        <v>82</v>
      </c>
      <c r="G229" s="18" t="s">
        <v>85</v>
      </c>
      <c r="H229" s="18" t="s">
        <v>83</v>
      </c>
      <c r="I229" s="18" t="s">
        <v>83</v>
      </c>
      <c r="J229" s="18" t="s">
        <v>56</v>
      </c>
      <c r="K229" s="18" t="s">
        <v>56</v>
      </c>
      <c r="L229" s="18" t="s">
        <v>56</v>
      </c>
    </row>
    <row r="230" customFormat="false" ht="15" hidden="false" customHeight="false" outlineLevel="0" collapsed="false">
      <c r="A230" s="18" t="n">
        <v>229</v>
      </c>
      <c r="B230" s="18" t="s">
        <v>27</v>
      </c>
      <c r="C230" s="18" t="s">
        <v>12</v>
      </c>
      <c r="D230" s="18" t="s">
        <v>15</v>
      </c>
      <c r="E230" s="18" t="s">
        <v>82</v>
      </c>
      <c r="F230" s="18" t="s">
        <v>82</v>
      </c>
      <c r="G230" s="18" t="s">
        <v>85</v>
      </c>
      <c r="H230" s="18" t="s">
        <v>83</v>
      </c>
      <c r="I230" s="18" t="s">
        <v>83</v>
      </c>
      <c r="J230" s="18" t="s">
        <v>56</v>
      </c>
      <c r="K230" s="18" t="s">
        <v>55</v>
      </c>
      <c r="L230" s="18" t="s">
        <v>56</v>
      </c>
    </row>
    <row r="231" customFormat="false" ht="15" hidden="false" customHeight="false" outlineLevel="0" collapsed="false">
      <c r="A231" s="18" t="n">
        <v>230</v>
      </c>
      <c r="B231" s="18" t="s">
        <v>33</v>
      </c>
      <c r="C231" s="18" t="s">
        <v>12</v>
      </c>
      <c r="D231" s="18" t="s">
        <v>16</v>
      </c>
      <c r="E231" s="18" t="s">
        <v>82</v>
      </c>
      <c r="F231" s="18" t="s">
        <v>82</v>
      </c>
      <c r="G231" s="18" t="s">
        <v>83</v>
      </c>
      <c r="H231" s="18" t="s">
        <v>83</v>
      </c>
      <c r="I231" s="18" t="s">
        <v>83</v>
      </c>
      <c r="J231" s="18" t="s">
        <v>53</v>
      </c>
      <c r="K231" s="18" t="s">
        <v>53</v>
      </c>
      <c r="L231" s="18" t="s">
        <v>53</v>
      </c>
    </row>
    <row r="232" customFormat="false" ht="15" hidden="false" customHeight="false" outlineLevel="0" collapsed="false">
      <c r="A232" s="18" t="n">
        <v>231</v>
      </c>
      <c r="B232" s="18" t="s">
        <v>37</v>
      </c>
      <c r="C232" s="18" t="s">
        <v>12</v>
      </c>
      <c r="D232" s="18" t="s">
        <v>16</v>
      </c>
      <c r="E232" s="18" t="s">
        <v>82</v>
      </c>
      <c r="F232" s="18" t="s">
        <v>82</v>
      </c>
      <c r="G232" s="18" t="s">
        <v>83</v>
      </c>
      <c r="H232" s="18" t="s">
        <v>83</v>
      </c>
      <c r="I232" s="18" t="s">
        <v>83</v>
      </c>
      <c r="J232" s="18" t="s">
        <v>55</v>
      </c>
      <c r="K232" s="18" t="s">
        <v>55</v>
      </c>
      <c r="L232" s="18" t="s">
        <v>56</v>
      </c>
    </row>
    <row r="233" customFormat="false" ht="15" hidden="false" customHeight="false" outlineLevel="0" collapsed="false">
      <c r="A233" s="18" t="n">
        <v>232</v>
      </c>
      <c r="B233" s="18" t="s">
        <v>44</v>
      </c>
      <c r="C233" s="18" t="s">
        <v>13</v>
      </c>
      <c r="D233" s="18" t="s">
        <v>16</v>
      </c>
      <c r="E233" s="18"/>
      <c r="F233" s="18" t="s">
        <v>87</v>
      </c>
      <c r="G233" s="18" t="s">
        <v>83</v>
      </c>
      <c r="H233" s="18" t="s">
        <v>83</v>
      </c>
      <c r="I233" s="18"/>
      <c r="J233" s="18" t="s">
        <v>53</v>
      </c>
      <c r="K233" s="18" t="s">
        <v>56</v>
      </c>
      <c r="L233" s="18"/>
    </row>
    <row r="234" customFormat="false" ht="15" hidden="false" customHeight="false" outlineLevel="0" collapsed="false">
      <c r="A234" s="18" t="n">
        <v>233</v>
      </c>
      <c r="B234" s="18" t="s">
        <v>40</v>
      </c>
      <c r="C234" s="18" t="s">
        <v>13</v>
      </c>
      <c r="D234" s="18" t="s">
        <v>15</v>
      </c>
      <c r="E234" s="18" t="s">
        <v>87</v>
      </c>
      <c r="F234" s="18" t="s">
        <v>82</v>
      </c>
      <c r="G234" s="18" t="s">
        <v>86</v>
      </c>
      <c r="H234" s="18" t="s">
        <v>84</v>
      </c>
      <c r="I234" s="18" t="s">
        <v>85</v>
      </c>
      <c r="J234" s="18" t="s">
        <v>57</v>
      </c>
      <c r="K234" s="18" t="s">
        <v>56</v>
      </c>
      <c r="L234" s="18" t="s">
        <v>56</v>
      </c>
    </row>
    <row r="235" customFormat="false" ht="15" hidden="false" customHeight="false" outlineLevel="0" collapsed="false">
      <c r="A235" s="18" t="n">
        <v>234</v>
      </c>
      <c r="B235" s="18" t="s">
        <v>31</v>
      </c>
      <c r="C235" s="18" t="s">
        <v>12</v>
      </c>
      <c r="D235" s="18" t="s">
        <v>15</v>
      </c>
      <c r="E235" s="18" t="s">
        <v>82</v>
      </c>
      <c r="F235" s="18" t="s">
        <v>82</v>
      </c>
      <c r="G235" s="18" t="s">
        <v>83</v>
      </c>
      <c r="H235" s="18" t="s">
        <v>83</v>
      </c>
      <c r="I235" s="18" t="s">
        <v>83</v>
      </c>
      <c r="J235" s="18" t="s">
        <v>52</v>
      </c>
      <c r="K235" s="18" t="s">
        <v>53</v>
      </c>
      <c r="L235" s="18" t="s">
        <v>54</v>
      </c>
    </row>
    <row r="236" customFormat="false" ht="15" hidden="false" customHeight="false" outlineLevel="0" collapsed="false">
      <c r="A236" s="18" t="n">
        <v>235</v>
      </c>
      <c r="B236" s="18" t="s">
        <v>27</v>
      </c>
      <c r="C236" s="18" t="s">
        <v>12</v>
      </c>
      <c r="D236" s="18" t="s">
        <v>15</v>
      </c>
      <c r="E236" s="18" t="s">
        <v>87</v>
      </c>
      <c r="F236" s="18" t="s">
        <v>82</v>
      </c>
      <c r="G236" s="18"/>
      <c r="H236" s="18" t="s">
        <v>86</v>
      </c>
      <c r="I236" s="18" t="s">
        <v>84</v>
      </c>
      <c r="J236" s="18"/>
      <c r="K236" s="18" t="s">
        <v>57</v>
      </c>
      <c r="L236" s="18" t="s">
        <v>56</v>
      </c>
    </row>
    <row r="237" customFormat="false" ht="15" hidden="false" customHeight="false" outlineLevel="0" collapsed="false">
      <c r="A237" s="18" t="n">
        <v>236</v>
      </c>
      <c r="B237" s="18" t="s">
        <v>30</v>
      </c>
      <c r="C237" s="18" t="s">
        <v>12</v>
      </c>
      <c r="D237" s="18" t="s">
        <v>15</v>
      </c>
      <c r="E237" s="18" t="s">
        <v>82</v>
      </c>
      <c r="F237" s="18" t="s">
        <v>82</v>
      </c>
      <c r="G237" s="18" t="s">
        <v>83</v>
      </c>
      <c r="H237" s="18" t="s">
        <v>83</v>
      </c>
      <c r="I237" s="18" t="s">
        <v>83</v>
      </c>
      <c r="J237" s="18" t="s">
        <v>53</v>
      </c>
      <c r="K237" s="18" t="s">
        <v>51</v>
      </c>
      <c r="L237" s="18" t="s">
        <v>51</v>
      </c>
    </row>
    <row r="238" customFormat="false" ht="15" hidden="false" customHeight="false" outlineLevel="0" collapsed="false">
      <c r="A238" s="18" t="n">
        <v>237</v>
      </c>
      <c r="B238" s="18" t="s">
        <v>40</v>
      </c>
      <c r="C238" s="18" t="s">
        <v>13</v>
      </c>
      <c r="D238" s="18" t="s">
        <v>15</v>
      </c>
      <c r="E238" s="18" t="s">
        <v>82</v>
      </c>
      <c r="F238" s="18" t="s">
        <v>82</v>
      </c>
      <c r="G238" s="18"/>
      <c r="H238" s="18" t="s">
        <v>86</v>
      </c>
      <c r="I238" s="18" t="s">
        <v>84</v>
      </c>
      <c r="J238" s="18"/>
      <c r="K238" s="18" t="s">
        <v>57</v>
      </c>
      <c r="L238" s="18" t="s">
        <v>56</v>
      </c>
    </row>
    <row r="239" customFormat="false" ht="15" hidden="false" customHeight="false" outlineLevel="0" collapsed="false">
      <c r="A239" s="18" t="n">
        <v>238</v>
      </c>
      <c r="B239" s="18" t="s">
        <v>43</v>
      </c>
      <c r="C239" s="18" t="s">
        <v>13</v>
      </c>
      <c r="D239" s="18" t="s">
        <v>16</v>
      </c>
      <c r="E239" s="18" t="s">
        <v>82</v>
      </c>
      <c r="F239" s="18" t="s">
        <v>82</v>
      </c>
      <c r="G239" s="18" t="s">
        <v>83</v>
      </c>
      <c r="H239" s="18" t="s">
        <v>83</v>
      </c>
      <c r="I239" s="18" t="s">
        <v>83</v>
      </c>
      <c r="J239" s="18" t="s">
        <v>52</v>
      </c>
      <c r="K239" s="18" t="s">
        <v>54</v>
      </c>
      <c r="L239" s="18" t="s">
        <v>53</v>
      </c>
    </row>
    <row r="240" customFormat="false" ht="15" hidden="false" customHeight="false" outlineLevel="0" collapsed="false">
      <c r="A240" s="18" t="n">
        <v>239</v>
      </c>
      <c r="B240" s="18" t="s">
        <v>28</v>
      </c>
      <c r="C240" s="18" t="s">
        <v>12</v>
      </c>
      <c r="D240" s="18" t="s">
        <v>15</v>
      </c>
      <c r="E240" s="18"/>
      <c r="F240" s="18"/>
      <c r="G240" s="18" t="s">
        <v>86</v>
      </c>
      <c r="H240" s="18"/>
      <c r="I240" s="18"/>
      <c r="J240" s="18" t="s">
        <v>57</v>
      </c>
      <c r="K240" s="18"/>
      <c r="L240" s="18"/>
    </row>
    <row r="241" customFormat="false" ht="15" hidden="false" customHeight="false" outlineLevel="0" collapsed="false">
      <c r="A241" s="18" t="n">
        <v>240</v>
      </c>
      <c r="B241" s="18" t="s">
        <v>31</v>
      </c>
      <c r="C241" s="18" t="s">
        <v>12</v>
      </c>
      <c r="D241" s="18" t="s">
        <v>15</v>
      </c>
      <c r="E241" s="18" t="s">
        <v>82</v>
      </c>
      <c r="F241" s="18" t="s">
        <v>82</v>
      </c>
      <c r="G241" s="18" t="s">
        <v>83</v>
      </c>
      <c r="H241" s="18" t="s">
        <v>83</v>
      </c>
      <c r="I241" s="18" t="s">
        <v>83</v>
      </c>
      <c r="J241" s="18" t="s">
        <v>53</v>
      </c>
      <c r="K241" s="18" t="s">
        <v>54</v>
      </c>
      <c r="L241" s="18" t="s">
        <v>52</v>
      </c>
    </row>
    <row r="242" customFormat="false" ht="15" hidden="false" customHeight="false" outlineLevel="0" collapsed="false">
      <c r="A242" s="18" t="n">
        <v>241</v>
      </c>
      <c r="B242" s="18" t="s">
        <v>41</v>
      </c>
      <c r="C242" s="18" t="s">
        <v>13</v>
      </c>
      <c r="D242" s="18" t="s">
        <v>16</v>
      </c>
      <c r="E242" s="18" t="s">
        <v>82</v>
      </c>
      <c r="F242" s="18" t="s">
        <v>82</v>
      </c>
      <c r="G242" s="18" t="s">
        <v>83</v>
      </c>
      <c r="H242" s="18" t="s">
        <v>83</v>
      </c>
      <c r="I242" s="18" t="s">
        <v>83</v>
      </c>
      <c r="J242" s="18" t="s">
        <v>51</v>
      </c>
      <c r="K242" s="18" t="s">
        <v>51</v>
      </c>
      <c r="L242" s="18" t="s">
        <v>51</v>
      </c>
    </row>
    <row r="243" customFormat="false" ht="15" hidden="false" customHeight="false" outlineLevel="0" collapsed="false">
      <c r="A243" s="18" t="n">
        <v>242</v>
      </c>
      <c r="B243" s="18" t="s">
        <v>40</v>
      </c>
      <c r="C243" s="18" t="s">
        <v>13</v>
      </c>
      <c r="D243" s="18" t="s">
        <v>15</v>
      </c>
      <c r="E243" s="18"/>
      <c r="F243" s="18" t="s">
        <v>82</v>
      </c>
      <c r="G243" s="18" t="s">
        <v>84</v>
      </c>
      <c r="H243" s="18" t="s">
        <v>85</v>
      </c>
      <c r="I243" s="18"/>
      <c r="J243" s="18" t="s">
        <v>56</v>
      </c>
      <c r="K243" s="18" t="s">
        <v>56</v>
      </c>
      <c r="L243" s="18"/>
    </row>
    <row r="244" customFormat="false" ht="15" hidden="false" customHeight="false" outlineLevel="0" collapsed="false">
      <c r="A244" s="18" t="n">
        <v>243</v>
      </c>
      <c r="B244" s="18" t="s">
        <v>35</v>
      </c>
      <c r="C244" s="18" t="s">
        <v>12</v>
      </c>
      <c r="D244" s="18" t="s">
        <v>16</v>
      </c>
      <c r="E244" s="18" t="s">
        <v>82</v>
      </c>
      <c r="F244" s="18" t="s">
        <v>82</v>
      </c>
      <c r="G244" s="18" t="s">
        <v>83</v>
      </c>
      <c r="H244" s="18" t="s">
        <v>83</v>
      </c>
      <c r="I244" s="18" t="s">
        <v>83</v>
      </c>
      <c r="J244" s="18" t="s">
        <v>54</v>
      </c>
      <c r="K244" s="18" t="s">
        <v>56</v>
      </c>
      <c r="L244" s="18" t="s">
        <v>54</v>
      </c>
    </row>
    <row r="245" customFormat="false" ht="15" hidden="false" customHeight="false" outlineLevel="0" collapsed="false">
      <c r="A245" s="18" t="n">
        <v>244</v>
      </c>
      <c r="B245" s="18" t="s">
        <v>45</v>
      </c>
      <c r="C245" s="18" t="s">
        <v>13</v>
      </c>
      <c r="D245" s="18" t="s">
        <v>16</v>
      </c>
      <c r="E245" s="18"/>
      <c r="F245" s="18"/>
      <c r="G245" s="18"/>
      <c r="H245" s="18"/>
      <c r="I245" s="18"/>
      <c r="J245" s="18"/>
      <c r="K245" s="18"/>
      <c r="L245" s="18"/>
    </row>
    <row r="246" customFormat="false" ht="15" hidden="false" customHeight="false" outlineLevel="0" collapsed="false">
      <c r="A246" s="18" t="n">
        <v>245</v>
      </c>
      <c r="B246" s="18" t="s">
        <v>27</v>
      </c>
      <c r="C246" s="18" t="s">
        <v>12</v>
      </c>
      <c r="D246" s="18" t="s">
        <v>15</v>
      </c>
      <c r="E246" s="18" t="s">
        <v>82</v>
      </c>
      <c r="F246" s="18" t="s">
        <v>82</v>
      </c>
      <c r="G246" s="18" t="s">
        <v>85</v>
      </c>
      <c r="H246" s="18" t="s">
        <v>83</v>
      </c>
      <c r="I246" s="18" t="s">
        <v>83</v>
      </c>
      <c r="J246" s="18" t="s">
        <v>53</v>
      </c>
      <c r="K246" s="18" t="s">
        <v>54</v>
      </c>
      <c r="L246" s="18" t="s">
        <v>53</v>
      </c>
    </row>
    <row r="247" customFormat="false" ht="15" hidden="false" customHeight="false" outlineLevel="0" collapsed="false">
      <c r="A247" s="18" t="n">
        <v>246</v>
      </c>
      <c r="B247" s="18" t="s">
        <v>39</v>
      </c>
      <c r="C247" s="18" t="s">
        <v>13</v>
      </c>
      <c r="D247" s="18" t="s">
        <v>17</v>
      </c>
      <c r="E247" s="18" t="s">
        <v>82</v>
      </c>
      <c r="F247" s="18" t="s">
        <v>82</v>
      </c>
      <c r="G247" s="18" t="s">
        <v>83</v>
      </c>
      <c r="H247" s="18" t="s">
        <v>83</v>
      </c>
      <c r="I247" s="18" t="s">
        <v>83</v>
      </c>
      <c r="J247" s="18" t="s">
        <v>56</v>
      </c>
      <c r="K247" s="18" t="s">
        <v>54</v>
      </c>
      <c r="L247" s="18" t="s">
        <v>51</v>
      </c>
    </row>
    <row r="248" customFormat="false" ht="15" hidden="false" customHeight="false" outlineLevel="0" collapsed="false">
      <c r="A248" s="18" t="n">
        <v>247</v>
      </c>
      <c r="B248" s="18" t="s">
        <v>40</v>
      </c>
      <c r="C248" s="18" t="s">
        <v>13</v>
      </c>
      <c r="D248" s="18" t="s">
        <v>15</v>
      </c>
      <c r="E248" s="18"/>
      <c r="F248" s="18"/>
      <c r="G248" s="18"/>
      <c r="H248" s="18"/>
      <c r="I248" s="18"/>
      <c r="J248" s="18"/>
      <c r="K248" s="18"/>
      <c r="L248" s="18"/>
    </row>
    <row r="249" customFormat="false" ht="15" hidden="false" customHeight="false" outlineLevel="0" collapsed="false">
      <c r="A249" s="18" t="n">
        <v>248</v>
      </c>
      <c r="B249" s="18" t="s">
        <v>36</v>
      </c>
      <c r="C249" s="18" t="s">
        <v>12</v>
      </c>
      <c r="D249" s="18" t="s">
        <v>16</v>
      </c>
      <c r="E249" s="18"/>
      <c r="F249" s="18"/>
      <c r="G249" s="18"/>
      <c r="H249" s="18"/>
      <c r="I249" s="18"/>
      <c r="J249" s="18"/>
      <c r="K249" s="18"/>
      <c r="L249" s="18"/>
    </row>
    <row r="250" customFormat="false" ht="15" hidden="false" customHeight="false" outlineLevel="0" collapsed="false">
      <c r="A250" s="18" t="n">
        <v>249</v>
      </c>
      <c r="B250" s="18" t="s">
        <v>42</v>
      </c>
      <c r="C250" s="18" t="s">
        <v>13</v>
      </c>
      <c r="D250" s="18" t="s">
        <v>16</v>
      </c>
      <c r="E250" s="18"/>
      <c r="F250" s="18"/>
      <c r="G250" s="18" t="s">
        <v>83</v>
      </c>
      <c r="H250" s="18"/>
      <c r="I250" s="18"/>
      <c r="J250" s="18" t="s">
        <v>56</v>
      </c>
      <c r="K250" s="18"/>
      <c r="L250" s="18"/>
    </row>
    <row r="251" customFormat="false" ht="15" hidden="false" customHeight="false" outlineLevel="0" collapsed="false">
      <c r="A251" s="18" t="n">
        <v>250</v>
      </c>
      <c r="B251" s="18" t="s">
        <v>32</v>
      </c>
      <c r="C251" s="18" t="s">
        <v>12</v>
      </c>
      <c r="D251" s="18" t="s">
        <v>16</v>
      </c>
      <c r="E251" s="18" t="s">
        <v>82</v>
      </c>
      <c r="F251" s="18" t="s">
        <v>82</v>
      </c>
      <c r="G251" s="18" t="s">
        <v>83</v>
      </c>
      <c r="H251" s="18" t="s">
        <v>83</v>
      </c>
      <c r="I251" s="18" t="s">
        <v>83</v>
      </c>
      <c r="J251" s="18" t="s">
        <v>52</v>
      </c>
      <c r="K251" s="18" t="s">
        <v>54</v>
      </c>
      <c r="L251" s="18" t="s">
        <v>53</v>
      </c>
    </row>
    <row r="252" customFormat="false" ht="15" hidden="false" customHeight="false" outlineLevel="0" collapsed="false">
      <c r="A252" s="18" t="n">
        <v>251</v>
      </c>
      <c r="B252" s="18" t="s">
        <v>44</v>
      </c>
      <c r="C252" s="18" t="s">
        <v>13</v>
      </c>
      <c r="D252" s="18" t="s">
        <v>16</v>
      </c>
      <c r="E252" s="18" t="s">
        <v>82</v>
      </c>
      <c r="F252" s="18" t="s">
        <v>82</v>
      </c>
      <c r="G252" s="18" t="s">
        <v>83</v>
      </c>
      <c r="H252" s="18" t="s">
        <v>83</v>
      </c>
      <c r="I252" s="18" t="s">
        <v>83</v>
      </c>
      <c r="J252" s="18" t="s">
        <v>53</v>
      </c>
      <c r="K252" s="18" t="s">
        <v>54</v>
      </c>
      <c r="L252" s="18" t="s">
        <v>53</v>
      </c>
    </row>
    <row r="253" customFormat="false" ht="15" hidden="false" customHeight="false" outlineLevel="0" collapsed="false">
      <c r="A253" s="18" t="n">
        <v>252</v>
      </c>
      <c r="B253" s="18" t="s">
        <v>36</v>
      </c>
      <c r="C253" s="18" t="s">
        <v>12</v>
      </c>
      <c r="D253" s="18" t="s">
        <v>16</v>
      </c>
      <c r="E253" s="18" t="s">
        <v>82</v>
      </c>
      <c r="F253" s="18" t="s">
        <v>82</v>
      </c>
      <c r="G253" s="18" t="s">
        <v>83</v>
      </c>
      <c r="H253" s="18" t="s">
        <v>83</v>
      </c>
      <c r="I253" s="18" t="s">
        <v>83</v>
      </c>
      <c r="J253" s="18" t="s">
        <v>53</v>
      </c>
      <c r="K253" s="18" t="s">
        <v>53</v>
      </c>
      <c r="L253" s="18" t="s">
        <v>54</v>
      </c>
    </row>
    <row r="254" customFormat="false" ht="15" hidden="false" customHeight="false" outlineLevel="0" collapsed="false">
      <c r="A254" s="18" t="n">
        <v>253</v>
      </c>
      <c r="B254" s="18" t="s">
        <v>25</v>
      </c>
      <c r="C254" s="18" t="s">
        <v>12</v>
      </c>
      <c r="D254" s="18" t="s">
        <v>15</v>
      </c>
      <c r="E254" s="18" t="s">
        <v>82</v>
      </c>
      <c r="F254" s="18" t="s">
        <v>82</v>
      </c>
      <c r="G254" s="18" t="s">
        <v>83</v>
      </c>
      <c r="H254" s="18" t="s">
        <v>83</v>
      </c>
      <c r="I254" s="18" t="s">
        <v>83</v>
      </c>
      <c r="J254" s="18" t="s">
        <v>53</v>
      </c>
      <c r="K254" s="18" t="s">
        <v>52</v>
      </c>
      <c r="L254" s="18" t="s">
        <v>52</v>
      </c>
    </row>
    <row r="255" customFormat="false" ht="15" hidden="false" customHeight="false" outlineLevel="0" collapsed="false">
      <c r="A255" s="18" t="n">
        <v>254</v>
      </c>
      <c r="B255" s="18" t="s">
        <v>40</v>
      </c>
      <c r="C255" s="18" t="s">
        <v>13</v>
      </c>
      <c r="D255" s="18" t="s">
        <v>15</v>
      </c>
      <c r="E255" s="18" t="s">
        <v>82</v>
      </c>
      <c r="F255" s="18" t="s">
        <v>82</v>
      </c>
      <c r="G255" s="18" t="s">
        <v>84</v>
      </c>
      <c r="H255" s="18" t="s">
        <v>85</v>
      </c>
      <c r="I255" s="18" t="s">
        <v>83</v>
      </c>
      <c r="J255" s="18" t="s">
        <v>56</v>
      </c>
      <c r="K255" s="18" t="s">
        <v>56</v>
      </c>
      <c r="L255" s="18" t="s">
        <v>56</v>
      </c>
    </row>
    <row r="256" customFormat="false" ht="15" hidden="false" customHeight="false" outlineLevel="0" collapsed="false">
      <c r="A256" s="18" t="n">
        <v>255</v>
      </c>
      <c r="B256" s="18" t="s">
        <v>35</v>
      </c>
      <c r="C256" s="18" t="s">
        <v>12</v>
      </c>
      <c r="D256" s="18" t="s">
        <v>16</v>
      </c>
      <c r="E256" s="18" t="s">
        <v>82</v>
      </c>
      <c r="F256" s="18" t="s">
        <v>82</v>
      </c>
      <c r="G256" s="18" t="s">
        <v>83</v>
      </c>
      <c r="H256" s="18" t="s">
        <v>83</v>
      </c>
      <c r="I256" s="18" t="s">
        <v>83</v>
      </c>
      <c r="J256" s="18" t="s">
        <v>54</v>
      </c>
      <c r="K256" s="18" t="s">
        <v>52</v>
      </c>
      <c r="L256" s="18" t="s">
        <v>52</v>
      </c>
    </row>
    <row r="257" customFormat="false" ht="15" hidden="false" customHeight="false" outlineLevel="0" collapsed="false">
      <c r="A257" s="18" t="n">
        <v>256</v>
      </c>
      <c r="B257" s="18" t="s">
        <v>42</v>
      </c>
      <c r="C257" s="18" t="s">
        <v>13</v>
      </c>
      <c r="D257" s="18" t="s">
        <v>16</v>
      </c>
      <c r="E257" s="18" t="s">
        <v>82</v>
      </c>
      <c r="F257" s="18"/>
      <c r="G257" s="18"/>
      <c r="H257" s="18"/>
      <c r="I257" s="18" t="s">
        <v>84</v>
      </c>
      <c r="J257" s="18"/>
      <c r="K257" s="18"/>
      <c r="L257" s="18" t="s">
        <v>56</v>
      </c>
    </row>
    <row r="258" customFormat="false" ht="15" hidden="false" customHeight="false" outlineLevel="0" collapsed="false">
      <c r="A258" s="18" t="n">
        <v>257</v>
      </c>
      <c r="B258" s="18" t="s">
        <v>28</v>
      </c>
      <c r="C258" s="18" t="s">
        <v>12</v>
      </c>
      <c r="D258" s="18" t="s">
        <v>15</v>
      </c>
      <c r="E258" s="18"/>
      <c r="F258" s="18"/>
      <c r="G258" s="18"/>
      <c r="H258" s="18"/>
      <c r="I258" s="18"/>
      <c r="J258" s="18"/>
      <c r="K258" s="18"/>
      <c r="L258" s="18"/>
    </row>
    <row r="259" customFormat="false" ht="15" hidden="false" customHeight="false" outlineLevel="0" collapsed="false">
      <c r="A259" s="18" t="n">
        <v>258</v>
      </c>
      <c r="B259" s="18" t="s">
        <v>40</v>
      </c>
      <c r="C259" s="18" t="s">
        <v>13</v>
      </c>
      <c r="D259" s="18" t="s">
        <v>15</v>
      </c>
      <c r="E259" s="18" t="s">
        <v>82</v>
      </c>
      <c r="F259" s="18"/>
      <c r="G259" s="18"/>
      <c r="H259" s="18"/>
      <c r="I259" s="18" t="s">
        <v>84</v>
      </c>
      <c r="J259" s="18"/>
      <c r="K259" s="18"/>
      <c r="L259" s="18" t="s">
        <v>56</v>
      </c>
    </row>
    <row r="260" customFormat="false" ht="15" hidden="false" customHeight="false" outlineLevel="0" collapsed="false">
      <c r="A260" s="18" t="n">
        <v>259</v>
      </c>
      <c r="B260" s="18" t="s">
        <v>30</v>
      </c>
      <c r="C260" s="18" t="s">
        <v>12</v>
      </c>
      <c r="D260" s="18" t="s">
        <v>15</v>
      </c>
      <c r="E260" s="18"/>
      <c r="F260" s="18" t="s">
        <v>82</v>
      </c>
      <c r="G260" s="18" t="s">
        <v>83</v>
      </c>
      <c r="H260" s="18" t="s">
        <v>83</v>
      </c>
      <c r="I260" s="18"/>
      <c r="J260" s="18" t="s">
        <v>56</v>
      </c>
      <c r="K260" s="18" t="s">
        <v>56</v>
      </c>
      <c r="L260" s="18"/>
    </row>
    <row r="261" customFormat="false" ht="15" hidden="false" customHeight="false" outlineLevel="0" collapsed="false">
      <c r="A261" s="18" t="n">
        <v>260</v>
      </c>
      <c r="B261" s="18" t="s">
        <v>35</v>
      </c>
      <c r="C261" s="18" t="s">
        <v>12</v>
      </c>
      <c r="D261" s="18" t="s">
        <v>16</v>
      </c>
      <c r="E261" s="18" t="s">
        <v>82</v>
      </c>
      <c r="F261" s="18" t="s">
        <v>82</v>
      </c>
      <c r="G261" s="18" t="s">
        <v>83</v>
      </c>
      <c r="H261" s="18" t="s">
        <v>83</v>
      </c>
      <c r="I261" s="18" t="s">
        <v>83</v>
      </c>
      <c r="J261" s="18" t="s">
        <v>52</v>
      </c>
      <c r="K261" s="18" t="s">
        <v>53</v>
      </c>
      <c r="L261" s="18" t="s">
        <v>54</v>
      </c>
    </row>
    <row r="262" customFormat="false" ht="15" hidden="false" customHeight="false" outlineLevel="0" collapsed="false">
      <c r="A262" s="18" t="n">
        <v>261</v>
      </c>
      <c r="B262" s="18" t="s">
        <v>45</v>
      </c>
      <c r="C262" s="18" t="s">
        <v>13</v>
      </c>
      <c r="D262" s="18" t="s">
        <v>16</v>
      </c>
      <c r="E262" s="18" t="s">
        <v>82</v>
      </c>
      <c r="F262" s="18"/>
      <c r="G262" s="18"/>
      <c r="H262" s="18"/>
      <c r="I262" s="18" t="s">
        <v>84</v>
      </c>
      <c r="J262" s="18"/>
      <c r="K262" s="18"/>
      <c r="L262" s="18" t="s">
        <v>56</v>
      </c>
    </row>
    <row r="263" customFormat="false" ht="15" hidden="false" customHeight="false" outlineLevel="0" collapsed="false">
      <c r="A263" s="18" t="n">
        <v>262</v>
      </c>
      <c r="B263" s="18" t="s">
        <v>40</v>
      </c>
      <c r="C263" s="18" t="s">
        <v>13</v>
      </c>
      <c r="D263" s="18" t="s">
        <v>15</v>
      </c>
      <c r="E263" s="18" t="s">
        <v>82</v>
      </c>
      <c r="F263" s="18" t="s">
        <v>82</v>
      </c>
      <c r="G263" s="18"/>
      <c r="H263" s="18" t="s">
        <v>86</v>
      </c>
      <c r="I263" s="18" t="s">
        <v>84</v>
      </c>
      <c r="J263" s="18"/>
      <c r="K263" s="18" t="s">
        <v>57</v>
      </c>
      <c r="L263" s="18" t="s">
        <v>56</v>
      </c>
    </row>
    <row r="264" customFormat="false" ht="15" hidden="false" customHeight="false" outlineLevel="0" collapsed="false">
      <c r="A264" s="18" t="n">
        <v>263</v>
      </c>
      <c r="B264" s="18" t="s">
        <v>40</v>
      </c>
      <c r="C264" s="18" t="s">
        <v>13</v>
      </c>
      <c r="D264" s="18" t="s">
        <v>15</v>
      </c>
      <c r="E264" s="18"/>
      <c r="F264" s="18" t="s">
        <v>87</v>
      </c>
      <c r="G264" s="18" t="s">
        <v>86</v>
      </c>
      <c r="H264" s="18" t="s">
        <v>84</v>
      </c>
      <c r="I264" s="18"/>
      <c r="J264" s="18" t="s">
        <v>57</v>
      </c>
      <c r="K264" s="18" t="s">
        <v>56</v>
      </c>
      <c r="L264" s="18"/>
    </row>
    <row r="265" customFormat="false" ht="15" hidden="false" customHeight="false" outlineLevel="0" collapsed="false">
      <c r="A265" s="18" t="n">
        <v>264</v>
      </c>
      <c r="B265" s="18" t="s">
        <v>32</v>
      </c>
      <c r="C265" s="18" t="s">
        <v>12</v>
      </c>
      <c r="D265" s="18" t="s">
        <v>16</v>
      </c>
      <c r="E265" s="18" t="s">
        <v>82</v>
      </c>
      <c r="F265" s="18" t="s">
        <v>82</v>
      </c>
      <c r="G265" s="18" t="s">
        <v>83</v>
      </c>
      <c r="H265" s="18" t="s">
        <v>83</v>
      </c>
      <c r="I265" s="18" t="s">
        <v>83</v>
      </c>
      <c r="J265" s="18" t="s">
        <v>54</v>
      </c>
      <c r="K265" s="18" t="s">
        <v>55</v>
      </c>
      <c r="L265" s="18" t="s">
        <v>55</v>
      </c>
    </row>
    <row r="266" customFormat="false" ht="15" hidden="false" customHeight="false" outlineLevel="0" collapsed="false">
      <c r="A266" s="18" t="n">
        <v>265</v>
      </c>
      <c r="B266" s="18" t="s">
        <v>32</v>
      </c>
      <c r="C266" s="18" t="s">
        <v>12</v>
      </c>
      <c r="D266" s="18" t="s">
        <v>16</v>
      </c>
      <c r="E266" s="18" t="s">
        <v>82</v>
      </c>
      <c r="F266" s="18" t="s">
        <v>82</v>
      </c>
      <c r="G266" s="18" t="s">
        <v>83</v>
      </c>
      <c r="H266" s="18" t="s">
        <v>83</v>
      </c>
      <c r="I266" s="18" t="s">
        <v>83</v>
      </c>
      <c r="J266" s="18" t="s">
        <v>52</v>
      </c>
      <c r="K266" s="18" t="s">
        <v>52</v>
      </c>
      <c r="L266" s="18" t="s">
        <v>53</v>
      </c>
    </row>
    <row r="267" customFormat="false" ht="15" hidden="false" customHeight="false" outlineLevel="0" collapsed="false">
      <c r="A267" s="18" t="n">
        <v>266</v>
      </c>
      <c r="B267" s="18" t="s">
        <v>30</v>
      </c>
      <c r="C267" s="18" t="s">
        <v>12</v>
      </c>
      <c r="D267" s="18" t="s">
        <v>15</v>
      </c>
      <c r="E267" s="18" t="s">
        <v>82</v>
      </c>
      <c r="F267" s="18" t="s">
        <v>82</v>
      </c>
      <c r="G267" s="18" t="s">
        <v>83</v>
      </c>
      <c r="H267" s="18" t="s">
        <v>83</v>
      </c>
      <c r="I267" s="18" t="s">
        <v>83</v>
      </c>
      <c r="J267" s="18" t="s">
        <v>52</v>
      </c>
      <c r="K267" s="18" t="s">
        <v>53</v>
      </c>
      <c r="L267" s="18" t="s">
        <v>53</v>
      </c>
    </row>
    <row r="268" customFormat="false" ht="15" hidden="false" customHeight="false" outlineLevel="0" collapsed="false">
      <c r="A268" s="18" t="n">
        <v>267</v>
      </c>
      <c r="B268" s="18" t="s">
        <v>44</v>
      </c>
      <c r="C268" s="18" t="s">
        <v>13</v>
      </c>
      <c r="D268" s="18" t="s">
        <v>16</v>
      </c>
      <c r="E268" s="18"/>
      <c r="F268" s="18"/>
      <c r="G268" s="18"/>
      <c r="H268" s="18"/>
      <c r="I268" s="18"/>
      <c r="J268" s="18"/>
      <c r="K268" s="18"/>
      <c r="L268" s="18"/>
    </row>
    <row r="269" customFormat="false" ht="15" hidden="false" customHeight="false" outlineLevel="0" collapsed="false">
      <c r="A269" s="18" t="n">
        <v>268</v>
      </c>
      <c r="B269" s="18" t="s">
        <v>34</v>
      </c>
      <c r="C269" s="18" t="s">
        <v>12</v>
      </c>
      <c r="D269" s="18" t="s">
        <v>16</v>
      </c>
      <c r="E269" s="18" t="s">
        <v>82</v>
      </c>
      <c r="F269" s="18" t="s">
        <v>82</v>
      </c>
      <c r="G269" s="18" t="s">
        <v>83</v>
      </c>
      <c r="H269" s="18" t="s">
        <v>83</v>
      </c>
      <c r="I269" s="18" t="s">
        <v>83</v>
      </c>
      <c r="J269" s="18" t="s">
        <v>52</v>
      </c>
      <c r="K269" s="18" t="s">
        <v>52</v>
      </c>
      <c r="L269" s="18" t="s">
        <v>52</v>
      </c>
    </row>
    <row r="270" customFormat="false" ht="15" hidden="false" customHeight="false" outlineLevel="0" collapsed="false">
      <c r="A270" s="18" t="n">
        <v>269</v>
      </c>
      <c r="B270" s="18" t="s">
        <v>41</v>
      </c>
      <c r="C270" s="18" t="s">
        <v>13</v>
      </c>
      <c r="D270" s="18" t="s">
        <v>16</v>
      </c>
      <c r="E270" s="18" t="s">
        <v>82</v>
      </c>
      <c r="F270" s="18" t="s">
        <v>82</v>
      </c>
      <c r="G270" s="18" t="s">
        <v>83</v>
      </c>
      <c r="H270" s="18" t="s">
        <v>83</v>
      </c>
      <c r="I270" s="18" t="s">
        <v>83</v>
      </c>
      <c r="J270" s="18" t="s">
        <v>52</v>
      </c>
      <c r="K270" s="18" t="s">
        <v>52</v>
      </c>
      <c r="L270" s="18" t="s">
        <v>53</v>
      </c>
    </row>
    <row r="271" customFormat="false" ht="15" hidden="false" customHeight="false" outlineLevel="0" collapsed="false">
      <c r="A271" s="18" t="n">
        <v>270</v>
      </c>
      <c r="B271" s="18" t="s">
        <v>40</v>
      </c>
      <c r="C271" s="18" t="s">
        <v>13</v>
      </c>
      <c r="D271" s="18" t="s">
        <v>15</v>
      </c>
      <c r="E271" s="18"/>
      <c r="F271" s="18"/>
      <c r="G271" s="18"/>
      <c r="H271" s="18"/>
      <c r="I271" s="18"/>
      <c r="J271" s="18"/>
      <c r="K271" s="18"/>
      <c r="L271" s="18"/>
    </row>
    <row r="272" customFormat="false" ht="15" hidden="false" customHeight="false" outlineLevel="0" collapsed="false">
      <c r="A272" s="18" t="n">
        <v>271</v>
      </c>
      <c r="B272" s="18" t="s">
        <v>25</v>
      </c>
      <c r="C272" s="18" t="s">
        <v>12</v>
      </c>
      <c r="D272" s="18" t="s">
        <v>15</v>
      </c>
      <c r="E272" s="18" t="s">
        <v>87</v>
      </c>
      <c r="F272" s="18" t="s">
        <v>82</v>
      </c>
      <c r="G272" s="18"/>
      <c r="H272" s="18" t="s">
        <v>84</v>
      </c>
      <c r="I272" s="18" t="s">
        <v>85</v>
      </c>
      <c r="J272" s="18"/>
      <c r="K272" s="18" t="s">
        <v>56</v>
      </c>
      <c r="L272" s="18" t="s">
        <v>56</v>
      </c>
    </row>
    <row r="273" customFormat="false" ht="15" hidden="false" customHeight="false" outlineLevel="0" collapsed="false">
      <c r="A273" s="18" t="n">
        <v>272</v>
      </c>
      <c r="B273" s="18" t="s">
        <v>41</v>
      </c>
      <c r="C273" s="18" t="s">
        <v>13</v>
      </c>
      <c r="D273" s="18" t="s">
        <v>16</v>
      </c>
      <c r="E273" s="18" t="s">
        <v>82</v>
      </c>
      <c r="F273" s="18" t="s">
        <v>82</v>
      </c>
      <c r="G273" s="18" t="s">
        <v>86</v>
      </c>
      <c r="H273" s="18" t="s">
        <v>84</v>
      </c>
      <c r="I273" s="18" t="s">
        <v>85</v>
      </c>
      <c r="J273" s="18" t="s">
        <v>57</v>
      </c>
      <c r="K273" s="18" t="s">
        <v>56</v>
      </c>
      <c r="L273" s="18" t="s">
        <v>54</v>
      </c>
    </row>
    <row r="274" customFormat="false" ht="15" hidden="false" customHeight="false" outlineLevel="0" collapsed="false">
      <c r="A274" s="18" t="n">
        <v>273</v>
      </c>
      <c r="B274" s="18" t="s">
        <v>34</v>
      </c>
      <c r="C274" s="18" t="s">
        <v>12</v>
      </c>
      <c r="D274" s="18" t="s">
        <v>16</v>
      </c>
      <c r="E274" s="18" t="s">
        <v>82</v>
      </c>
      <c r="F274" s="18" t="s">
        <v>82</v>
      </c>
      <c r="G274" s="18" t="s">
        <v>83</v>
      </c>
      <c r="H274" s="18" t="s">
        <v>83</v>
      </c>
      <c r="I274" s="18" t="s">
        <v>83</v>
      </c>
      <c r="J274" s="18" t="s">
        <v>53</v>
      </c>
      <c r="K274" s="18" t="s">
        <v>53</v>
      </c>
      <c r="L274" s="18" t="s">
        <v>52</v>
      </c>
    </row>
    <row r="275" customFormat="false" ht="15" hidden="false" customHeight="false" outlineLevel="0" collapsed="false">
      <c r="A275" s="18" t="n">
        <v>274</v>
      </c>
      <c r="B275" s="18" t="s">
        <v>25</v>
      </c>
      <c r="C275" s="18" t="s">
        <v>12</v>
      </c>
      <c r="D275" s="18" t="s">
        <v>15</v>
      </c>
      <c r="E275" s="18" t="s">
        <v>82</v>
      </c>
      <c r="F275" s="18" t="s">
        <v>82</v>
      </c>
      <c r="G275" s="18"/>
      <c r="H275" s="18" t="s">
        <v>84</v>
      </c>
      <c r="I275" s="18" t="s">
        <v>85</v>
      </c>
      <c r="J275" s="18"/>
      <c r="K275" s="18" t="s">
        <v>56</v>
      </c>
      <c r="L275" s="18" t="s">
        <v>56</v>
      </c>
    </row>
    <row r="276" customFormat="false" ht="15" hidden="false" customHeight="false" outlineLevel="0" collapsed="false">
      <c r="A276" s="18" t="n">
        <v>275</v>
      </c>
      <c r="B276" s="18" t="s">
        <v>35</v>
      </c>
      <c r="C276" s="18" t="s">
        <v>12</v>
      </c>
      <c r="D276" s="18" t="s">
        <v>16</v>
      </c>
      <c r="E276" s="18" t="s">
        <v>82</v>
      </c>
      <c r="F276" s="18" t="s">
        <v>82</v>
      </c>
      <c r="G276" s="18" t="s">
        <v>86</v>
      </c>
      <c r="H276" s="18" t="s">
        <v>84</v>
      </c>
      <c r="I276" s="18" t="s">
        <v>85</v>
      </c>
      <c r="J276" s="18" t="s">
        <v>57</v>
      </c>
      <c r="K276" s="18" t="s">
        <v>53</v>
      </c>
      <c r="L276" s="18" t="s">
        <v>53</v>
      </c>
    </row>
    <row r="277" customFormat="false" ht="15" hidden="false" customHeight="false" outlineLevel="0" collapsed="false">
      <c r="A277" s="18" t="n">
        <v>276</v>
      </c>
      <c r="B277" s="18" t="s">
        <v>40</v>
      </c>
      <c r="C277" s="18" t="s">
        <v>13</v>
      </c>
      <c r="D277" s="18" t="s">
        <v>15</v>
      </c>
      <c r="E277" s="18"/>
      <c r="F277" s="18" t="s">
        <v>87</v>
      </c>
      <c r="G277" s="18" t="s">
        <v>83</v>
      </c>
      <c r="H277" s="18" t="s">
        <v>83</v>
      </c>
      <c r="I277" s="18"/>
      <c r="J277" s="18" t="s">
        <v>53</v>
      </c>
      <c r="K277" s="18" t="s">
        <v>56</v>
      </c>
      <c r="L277" s="18"/>
    </row>
    <row r="278" customFormat="false" ht="15" hidden="false" customHeight="false" outlineLevel="0" collapsed="false">
      <c r="A278" s="18" t="n">
        <v>277</v>
      </c>
      <c r="B278" s="18" t="s">
        <v>41</v>
      </c>
      <c r="C278" s="18" t="s">
        <v>13</v>
      </c>
      <c r="D278" s="18" t="s">
        <v>16</v>
      </c>
      <c r="E278" s="18" t="s">
        <v>82</v>
      </c>
      <c r="F278" s="18"/>
      <c r="G278" s="18"/>
      <c r="H278" s="18"/>
      <c r="I278" s="18" t="s">
        <v>84</v>
      </c>
      <c r="J278" s="18"/>
      <c r="K278" s="18"/>
      <c r="L278" s="18" t="s">
        <v>56</v>
      </c>
    </row>
    <row r="279" customFormat="false" ht="15" hidden="false" customHeight="false" outlineLevel="0" collapsed="false">
      <c r="A279" s="18" t="n">
        <v>278</v>
      </c>
      <c r="B279" s="18" t="s">
        <v>41</v>
      </c>
      <c r="C279" s="18" t="s">
        <v>13</v>
      </c>
      <c r="D279" s="18" t="s">
        <v>16</v>
      </c>
      <c r="E279" s="18"/>
      <c r="F279" s="18"/>
      <c r="G279" s="18"/>
      <c r="H279" s="18"/>
      <c r="I279" s="18"/>
      <c r="J279" s="18"/>
      <c r="K279" s="18"/>
      <c r="L279" s="18"/>
    </row>
    <row r="280" customFormat="false" ht="15" hidden="false" customHeight="false" outlineLevel="0" collapsed="false">
      <c r="A280" s="18" t="n">
        <v>279</v>
      </c>
      <c r="B280" s="18" t="s">
        <v>29</v>
      </c>
      <c r="C280" s="18" t="s">
        <v>12</v>
      </c>
      <c r="D280" s="18" t="s">
        <v>15</v>
      </c>
      <c r="E280" s="18"/>
      <c r="F280" s="18"/>
      <c r="G280" s="18" t="s">
        <v>83</v>
      </c>
      <c r="H280" s="18"/>
      <c r="I280" s="18"/>
      <c r="J280" s="18" t="s">
        <v>56</v>
      </c>
      <c r="K280" s="18"/>
      <c r="L280" s="18"/>
    </row>
    <row r="281" customFormat="false" ht="15" hidden="false" customHeight="false" outlineLevel="0" collapsed="false">
      <c r="A281" s="18" t="n">
        <v>280</v>
      </c>
      <c r="B281" s="18" t="s">
        <v>40</v>
      </c>
      <c r="C281" s="18" t="s">
        <v>13</v>
      </c>
      <c r="D281" s="18" t="s">
        <v>15</v>
      </c>
      <c r="E281" s="18" t="s">
        <v>82</v>
      </c>
      <c r="F281" s="18"/>
      <c r="G281" s="18"/>
      <c r="H281" s="18"/>
      <c r="I281" s="18" t="s">
        <v>84</v>
      </c>
      <c r="J281" s="18"/>
      <c r="K281" s="18"/>
      <c r="L281" s="18" t="s">
        <v>56</v>
      </c>
    </row>
    <row r="282" customFormat="false" ht="15" hidden="false" customHeight="false" outlineLevel="0" collapsed="false">
      <c r="A282" s="18" t="n">
        <v>281</v>
      </c>
      <c r="B282" s="18" t="s">
        <v>30</v>
      </c>
      <c r="C282" s="18" t="s">
        <v>12</v>
      </c>
      <c r="D282" s="18" t="s">
        <v>15</v>
      </c>
      <c r="E282" s="18" t="s">
        <v>82</v>
      </c>
      <c r="F282" s="18" t="s">
        <v>82</v>
      </c>
      <c r="G282" s="18" t="s">
        <v>83</v>
      </c>
      <c r="H282" s="18" t="s">
        <v>83</v>
      </c>
      <c r="I282" s="18" t="s">
        <v>83</v>
      </c>
      <c r="J282" s="18" t="s">
        <v>54</v>
      </c>
      <c r="K282" s="18" t="s">
        <v>54</v>
      </c>
      <c r="L282" s="18" t="s">
        <v>53</v>
      </c>
    </row>
    <row r="283" customFormat="false" ht="15" hidden="false" customHeight="false" outlineLevel="0" collapsed="false">
      <c r="A283" s="18" t="n">
        <v>282</v>
      </c>
      <c r="B283" s="18" t="s">
        <v>29</v>
      </c>
      <c r="C283" s="18" t="s">
        <v>12</v>
      </c>
      <c r="D283" s="18" t="s">
        <v>15</v>
      </c>
      <c r="E283" s="18" t="s">
        <v>82</v>
      </c>
      <c r="F283" s="18" t="s">
        <v>82</v>
      </c>
      <c r="G283" s="18"/>
      <c r="H283" s="18" t="s">
        <v>86</v>
      </c>
      <c r="I283" s="18" t="s">
        <v>84</v>
      </c>
      <c r="J283" s="18"/>
      <c r="K283" s="18" t="s">
        <v>57</v>
      </c>
      <c r="L283" s="18" t="s">
        <v>56</v>
      </c>
    </row>
    <row r="284" customFormat="false" ht="15" hidden="false" customHeight="false" outlineLevel="0" collapsed="false">
      <c r="A284" s="18" t="n">
        <v>283</v>
      </c>
      <c r="B284" s="18" t="s">
        <v>29</v>
      </c>
      <c r="C284" s="18" t="s">
        <v>12</v>
      </c>
      <c r="D284" s="18" t="s">
        <v>15</v>
      </c>
      <c r="E284" s="18"/>
      <c r="F284" s="18"/>
      <c r="G284" s="18"/>
      <c r="H284" s="18"/>
      <c r="I284" s="18"/>
      <c r="J284" s="18"/>
      <c r="K284" s="18"/>
      <c r="L284" s="18"/>
    </row>
    <row r="285" customFormat="false" ht="15" hidden="false" customHeight="false" outlineLevel="0" collapsed="false">
      <c r="A285" s="18" t="n">
        <v>284</v>
      </c>
      <c r="B285" s="18" t="s">
        <v>38</v>
      </c>
      <c r="C285" s="18" t="s">
        <v>12</v>
      </c>
      <c r="D285" s="18" t="s">
        <v>15</v>
      </c>
      <c r="E285" s="18" t="s">
        <v>82</v>
      </c>
      <c r="F285" s="18" t="s">
        <v>82</v>
      </c>
      <c r="G285" s="18" t="s">
        <v>83</v>
      </c>
      <c r="H285" s="18" t="s">
        <v>83</v>
      </c>
      <c r="I285" s="18" t="s">
        <v>83</v>
      </c>
      <c r="J285" s="18" t="s">
        <v>55</v>
      </c>
      <c r="K285" s="18" t="s">
        <v>54</v>
      </c>
      <c r="L285" s="18" t="s">
        <v>53</v>
      </c>
    </row>
    <row r="286" customFormat="false" ht="15" hidden="false" customHeight="false" outlineLevel="0" collapsed="false">
      <c r="A286" s="18" t="n">
        <v>285</v>
      </c>
      <c r="B286" s="18" t="s">
        <v>43</v>
      </c>
      <c r="C286" s="18" t="s">
        <v>13</v>
      </c>
      <c r="D286" s="18" t="s">
        <v>16</v>
      </c>
      <c r="E286" s="18" t="s">
        <v>82</v>
      </c>
      <c r="F286" s="18" t="s">
        <v>82</v>
      </c>
      <c r="G286" s="18" t="s">
        <v>84</v>
      </c>
      <c r="H286" s="18" t="s">
        <v>85</v>
      </c>
      <c r="I286" s="18" t="s">
        <v>83</v>
      </c>
      <c r="J286" s="18" t="s">
        <v>54</v>
      </c>
      <c r="K286" s="18" t="s">
        <v>54</v>
      </c>
      <c r="L286" s="18" t="s">
        <v>54</v>
      </c>
    </row>
    <row r="287" customFormat="false" ht="15" hidden="false" customHeight="false" outlineLevel="0" collapsed="false">
      <c r="A287" s="18" t="n">
        <v>286</v>
      </c>
      <c r="B287" s="18" t="s">
        <v>40</v>
      </c>
      <c r="C287" s="18" t="s">
        <v>13</v>
      </c>
      <c r="D287" s="18" t="s">
        <v>15</v>
      </c>
      <c r="E287" s="18" t="s">
        <v>82</v>
      </c>
      <c r="F287" s="18"/>
      <c r="G287" s="18"/>
      <c r="H287" s="18"/>
      <c r="I287" s="18" t="s">
        <v>84</v>
      </c>
      <c r="J287" s="18"/>
      <c r="K287" s="18"/>
      <c r="L287" s="18" t="s">
        <v>56</v>
      </c>
    </row>
    <row r="288" customFormat="false" ht="15" hidden="false" customHeight="false" outlineLevel="0" collapsed="false">
      <c r="A288" s="18" t="n">
        <v>287</v>
      </c>
      <c r="B288" s="18" t="s">
        <v>45</v>
      </c>
      <c r="C288" s="18" t="s">
        <v>13</v>
      </c>
      <c r="D288" s="18" t="s">
        <v>16</v>
      </c>
      <c r="E288" s="18" t="s">
        <v>82</v>
      </c>
      <c r="F288" s="18" t="s">
        <v>82</v>
      </c>
      <c r="G288" s="18"/>
      <c r="H288" s="18" t="s">
        <v>84</v>
      </c>
      <c r="I288" s="18" t="s">
        <v>85</v>
      </c>
      <c r="J288" s="18"/>
      <c r="K288" s="18" t="s">
        <v>56</v>
      </c>
      <c r="L288" s="18" t="s">
        <v>56</v>
      </c>
    </row>
    <row r="289" customFormat="false" ht="15" hidden="false" customHeight="false" outlineLevel="0" collapsed="false">
      <c r="A289" s="18" t="n">
        <v>288</v>
      </c>
      <c r="B289" s="18" t="s">
        <v>44</v>
      </c>
      <c r="C289" s="18" t="s">
        <v>13</v>
      </c>
      <c r="D289" s="18" t="s">
        <v>16</v>
      </c>
      <c r="E289" s="18" t="s">
        <v>87</v>
      </c>
      <c r="F289" s="18"/>
      <c r="G289" s="18"/>
      <c r="H289" s="18"/>
      <c r="I289" s="18" t="s">
        <v>84</v>
      </c>
      <c r="J289" s="18"/>
      <c r="K289" s="18"/>
      <c r="L289" s="18" t="s">
        <v>56</v>
      </c>
    </row>
    <row r="290" customFormat="false" ht="15" hidden="false" customHeight="false" outlineLevel="0" collapsed="false">
      <c r="A290" s="18" t="n">
        <v>289</v>
      </c>
      <c r="B290" s="18" t="s">
        <v>28</v>
      </c>
      <c r="C290" s="18" t="s">
        <v>12</v>
      </c>
      <c r="D290" s="18" t="s">
        <v>15</v>
      </c>
      <c r="E290" s="18"/>
      <c r="F290" s="18"/>
      <c r="G290" s="18" t="s">
        <v>85</v>
      </c>
      <c r="H290" s="18"/>
      <c r="I290" s="18"/>
      <c r="J290" s="18" t="s">
        <v>56</v>
      </c>
      <c r="K290" s="18"/>
      <c r="L290" s="18"/>
    </row>
    <row r="291" customFormat="false" ht="15" hidden="false" customHeight="false" outlineLevel="0" collapsed="false">
      <c r="A291" s="18" t="n">
        <v>290</v>
      </c>
      <c r="B291" s="18" t="s">
        <v>36</v>
      </c>
      <c r="C291" s="18" t="s">
        <v>12</v>
      </c>
      <c r="D291" s="18" t="s">
        <v>16</v>
      </c>
      <c r="E291" s="18" t="s">
        <v>82</v>
      </c>
      <c r="F291" s="18" t="s">
        <v>82</v>
      </c>
      <c r="G291" s="18" t="s">
        <v>83</v>
      </c>
      <c r="H291" s="18" t="s">
        <v>83</v>
      </c>
      <c r="I291" s="18" t="s">
        <v>83</v>
      </c>
      <c r="J291" s="18" t="s">
        <v>54</v>
      </c>
      <c r="K291" s="18" t="s">
        <v>53</v>
      </c>
      <c r="L291" s="18" t="s">
        <v>53</v>
      </c>
    </row>
    <row r="292" customFormat="false" ht="15" hidden="false" customHeight="false" outlineLevel="0" collapsed="false">
      <c r="A292" s="18" t="n">
        <v>291</v>
      </c>
      <c r="B292" s="18" t="s">
        <v>43</v>
      </c>
      <c r="C292" s="18" t="s">
        <v>13</v>
      </c>
      <c r="D292" s="18" t="s">
        <v>16</v>
      </c>
      <c r="E292" s="18" t="s">
        <v>82</v>
      </c>
      <c r="F292" s="18" t="s">
        <v>82</v>
      </c>
      <c r="G292" s="18"/>
      <c r="H292" s="18" t="s">
        <v>84</v>
      </c>
      <c r="I292" s="18" t="s">
        <v>85</v>
      </c>
      <c r="J292" s="18"/>
      <c r="K292" s="18" t="s">
        <v>56</v>
      </c>
      <c r="L292" s="18" t="s">
        <v>53</v>
      </c>
    </row>
    <row r="293" customFormat="false" ht="15" hidden="false" customHeight="false" outlineLevel="0" collapsed="false">
      <c r="A293" s="18" t="n">
        <v>292</v>
      </c>
      <c r="B293" s="18" t="s">
        <v>30</v>
      </c>
      <c r="C293" s="18" t="s">
        <v>12</v>
      </c>
      <c r="D293" s="18" t="s">
        <v>15</v>
      </c>
      <c r="E293" s="18"/>
      <c r="F293" s="18" t="s">
        <v>82</v>
      </c>
      <c r="G293" s="18"/>
      <c r="H293" s="18" t="s">
        <v>84</v>
      </c>
      <c r="I293" s="18"/>
      <c r="J293" s="18"/>
      <c r="K293" s="18" t="s">
        <v>56</v>
      </c>
      <c r="L293" s="18"/>
    </row>
    <row r="294" customFormat="false" ht="15" hidden="false" customHeight="false" outlineLevel="0" collapsed="false">
      <c r="A294" s="18" t="n">
        <v>293</v>
      </c>
      <c r="B294" s="18" t="s">
        <v>33</v>
      </c>
      <c r="C294" s="18" t="s">
        <v>12</v>
      </c>
      <c r="D294" s="18" t="s">
        <v>16</v>
      </c>
      <c r="E294" s="18" t="s">
        <v>82</v>
      </c>
      <c r="F294" s="18" t="s">
        <v>82</v>
      </c>
      <c r="G294" s="18" t="s">
        <v>83</v>
      </c>
      <c r="H294" s="18" t="s">
        <v>83</v>
      </c>
      <c r="I294" s="18" t="s">
        <v>83</v>
      </c>
      <c r="J294" s="18" t="s">
        <v>55</v>
      </c>
      <c r="K294" s="18" t="s">
        <v>55</v>
      </c>
      <c r="L294" s="18" t="s">
        <v>53</v>
      </c>
    </row>
    <row r="295" customFormat="false" ht="15" hidden="false" customHeight="false" outlineLevel="0" collapsed="false">
      <c r="A295" s="18" t="n">
        <v>294</v>
      </c>
      <c r="B295" s="18" t="s">
        <v>40</v>
      </c>
      <c r="C295" s="18" t="s">
        <v>13</v>
      </c>
      <c r="D295" s="18" t="s">
        <v>15</v>
      </c>
      <c r="E295" s="18" t="s">
        <v>82</v>
      </c>
      <c r="F295" s="18" t="s">
        <v>82</v>
      </c>
      <c r="G295" s="18" t="s">
        <v>86</v>
      </c>
      <c r="H295" s="18" t="s">
        <v>84</v>
      </c>
      <c r="I295" s="18" t="s">
        <v>85</v>
      </c>
      <c r="J295" s="18" t="s">
        <v>57</v>
      </c>
      <c r="K295" s="18" t="s">
        <v>56</v>
      </c>
      <c r="L295" s="18" t="s">
        <v>56</v>
      </c>
    </row>
    <row r="296" customFormat="false" ht="15" hidden="false" customHeight="false" outlineLevel="0" collapsed="false">
      <c r="A296" s="18" t="n">
        <v>295</v>
      </c>
      <c r="B296" s="18" t="s">
        <v>41</v>
      </c>
      <c r="C296" s="18" t="s">
        <v>13</v>
      </c>
      <c r="D296" s="18" t="s">
        <v>16</v>
      </c>
      <c r="E296" s="18"/>
      <c r="F296" s="18"/>
      <c r="G296" s="18" t="s">
        <v>83</v>
      </c>
      <c r="H296" s="18"/>
      <c r="I296" s="18"/>
      <c r="J296" s="18" t="s">
        <v>56</v>
      </c>
      <c r="K296" s="18"/>
      <c r="L296" s="18"/>
    </row>
    <row r="297" customFormat="false" ht="15" hidden="false" customHeight="false" outlineLevel="0" collapsed="false">
      <c r="A297" s="18" t="n">
        <v>296</v>
      </c>
      <c r="B297" s="18" t="s">
        <v>27</v>
      </c>
      <c r="C297" s="18" t="s">
        <v>12</v>
      </c>
      <c r="D297" s="18" t="s">
        <v>15</v>
      </c>
      <c r="E297" s="18"/>
      <c r="F297" s="18" t="s">
        <v>87</v>
      </c>
      <c r="G297" s="18" t="s">
        <v>85</v>
      </c>
      <c r="H297" s="18" t="s">
        <v>83</v>
      </c>
      <c r="I297" s="18"/>
      <c r="J297" s="18" t="s">
        <v>56</v>
      </c>
      <c r="K297" s="18" t="s">
        <v>56</v>
      </c>
      <c r="L297" s="18"/>
    </row>
    <row r="298" customFormat="false" ht="15" hidden="false" customHeight="false" outlineLevel="0" collapsed="false">
      <c r="A298" s="18" t="n">
        <v>297</v>
      </c>
      <c r="B298" s="18" t="s">
        <v>41</v>
      </c>
      <c r="C298" s="18" t="s">
        <v>13</v>
      </c>
      <c r="D298" s="18" t="s">
        <v>16</v>
      </c>
      <c r="E298" s="18"/>
      <c r="F298" s="18"/>
      <c r="G298" s="18" t="s">
        <v>83</v>
      </c>
      <c r="H298" s="18"/>
      <c r="I298" s="18"/>
      <c r="J298" s="18" t="s">
        <v>56</v>
      </c>
      <c r="K298" s="18"/>
      <c r="L298" s="18"/>
    </row>
    <row r="299" customFormat="false" ht="15" hidden="false" customHeight="false" outlineLevel="0" collapsed="false">
      <c r="A299" s="18" t="n">
        <v>298</v>
      </c>
      <c r="B299" s="18" t="s">
        <v>42</v>
      </c>
      <c r="C299" s="18" t="s">
        <v>13</v>
      </c>
      <c r="D299" s="18" t="s">
        <v>16</v>
      </c>
      <c r="E299" s="18" t="s">
        <v>82</v>
      </c>
      <c r="F299" s="18" t="s">
        <v>82</v>
      </c>
      <c r="G299" s="18" t="s">
        <v>84</v>
      </c>
      <c r="H299" s="18" t="s">
        <v>85</v>
      </c>
      <c r="I299" s="18" t="s">
        <v>83</v>
      </c>
      <c r="J299" s="18" t="s">
        <v>56</v>
      </c>
      <c r="K299" s="18" t="s">
        <v>56</v>
      </c>
      <c r="L299" s="18" t="s">
        <v>56</v>
      </c>
    </row>
    <row r="300" customFormat="false" ht="15" hidden="false" customHeight="false" outlineLevel="0" collapsed="false">
      <c r="A300" s="18" t="n">
        <v>299</v>
      </c>
      <c r="B300" s="18" t="s">
        <v>28</v>
      </c>
      <c r="C300" s="18" t="s">
        <v>12</v>
      </c>
      <c r="D300" s="18" t="s">
        <v>15</v>
      </c>
      <c r="E300" s="18"/>
      <c r="F300" s="18"/>
      <c r="G300" s="18"/>
      <c r="H300" s="18"/>
      <c r="I300" s="18"/>
      <c r="J300" s="18"/>
      <c r="K300" s="18"/>
      <c r="L300" s="18"/>
    </row>
    <row r="301" customFormat="false" ht="15" hidden="false" customHeight="false" outlineLevel="0" collapsed="false">
      <c r="A301" s="18" t="n">
        <v>300</v>
      </c>
      <c r="B301" s="18" t="s">
        <v>41</v>
      </c>
      <c r="C301" s="18" t="s">
        <v>13</v>
      </c>
      <c r="D301" s="18" t="s">
        <v>16</v>
      </c>
      <c r="E301" s="18"/>
      <c r="F301" s="18"/>
      <c r="G301" s="18" t="s">
        <v>83</v>
      </c>
      <c r="H301" s="18"/>
      <c r="I301" s="18"/>
      <c r="J301" s="18" t="s">
        <v>56</v>
      </c>
      <c r="K301" s="18"/>
      <c r="L301" s="18"/>
    </row>
    <row r="302" customFormat="false" ht="15" hidden="false" customHeight="false" outlineLevel="0" collapsed="false">
      <c r="A302" s="18" t="n">
        <v>301</v>
      </c>
      <c r="B302" s="18" t="s">
        <v>30</v>
      </c>
      <c r="C302" s="18" t="s">
        <v>12</v>
      </c>
      <c r="D302" s="18" t="s">
        <v>15</v>
      </c>
      <c r="E302" s="18"/>
      <c r="F302" s="18"/>
      <c r="G302" s="18"/>
      <c r="H302" s="18"/>
      <c r="I302" s="18"/>
      <c r="J302" s="18"/>
      <c r="K302" s="18"/>
      <c r="L302" s="18"/>
    </row>
    <row r="303" customFormat="false" ht="15" hidden="false" customHeight="false" outlineLevel="0" collapsed="false">
      <c r="A303" s="18" t="n">
        <v>302</v>
      </c>
      <c r="B303" s="18" t="s">
        <v>45</v>
      </c>
      <c r="C303" s="18" t="s">
        <v>13</v>
      </c>
      <c r="D303" s="18" t="s">
        <v>16</v>
      </c>
      <c r="E303" s="18"/>
      <c r="F303" s="18" t="s">
        <v>87</v>
      </c>
      <c r="G303" s="18"/>
      <c r="H303" s="18" t="s">
        <v>84</v>
      </c>
      <c r="I303" s="18"/>
      <c r="J303" s="18"/>
      <c r="K303" s="18" t="s">
        <v>56</v>
      </c>
      <c r="L303" s="18"/>
    </row>
    <row r="304" customFormat="false" ht="15" hidden="false" customHeight="false" outlineLevel="0" collapsed="false">
      <c r="A304" s="18" t="n">
        <v>303</v>
      </c>
      <c r="B304" s="18" t="s">
        <v>30</v>
      </c>
      <c r="C304" s="18" t="s">
        <v>12</v>
      </c>
      <c r="D304" s="18" t="s">
        <v>15</v>
      </c>
      <c r="E304" s="18" t="s">
        <v>82</v>
      </c>
      <c r="F304" s="18"/>
      <c r="G304" s="18"/>
      <c r="H304" s="18"/>
      <c r="I304" s="18" t="s">
        <v>84</v>
      </c>
      <c r="J304" s="18"/>
      <c r="K304" s="18"/>
      <c r="L304" s="18" t="s">
        <v>56</v>
      </c>
    </row>
    <row r="305" customFormat="false" ht="15" hidden="false" customHeight="false" outlineLevel="0" collapsed="false">
      <c r="A305" s="18" t="n">
        <v>304</v>
      </c>
      <c r="B305" s="18" t="s">
        <v>41</v>
      </c>
      <c r="C305" s="18" t="s">
        <v>13</v>
      </c>
      <c r="D305" s="18" t="s">
        <v>16</v>
      </c>
      <c r="E305" s="18" t="s">
        <v>82</v>
      </c>
      <c r="F305" s="18" t="s">
        <v>82</v>
      </c>
      <c r="G305" s="18" t="s">
        <v>83</v>
      </c>
      <c r="H305" s="18" t="s">
        <v>83</v>
      </c>
      <c r="I305" s="18" t="s">
        <v>83</v>
      </c>
      <c r="J305" s="18" t="s">
        <v>56</v>
      </c>
      <c r="K305" s="18" t="s">
        <v>54</v>
      </c>
      <c r="L305" s="18" t="s">
        <v>54</v>
      </c>
    </row>
    <row r="306" customFormat="false" ht="15" hidden="false" customHeight="false" outlineLevel="0" collapsed="false">
      <c r="A306" s="18" t="n">
        <v>305</v>
      </c>
      <c r="B306" s="18" t="s">
        <v>45</v>
      </c>
      <c r="C306" s="18" t="s">
        <v>13</v>
      </c>
      <c r="D306" s="18" t="s">
        <v>16</v>
      </c>
      <c r="E306" s="18"/>
      <c r="F306" s="18"/>
      <c r="G306" s="18" t="s">
        <v>83</v>
      </c>
      <c r="H306" s="18"/>
      <c r="I306" s="18"/>
      <c r="J306" s="18" t="s">
        <v>52</v>
      </c>
      <c r="K306" s="18"/>
      <c r="L306" s="18"/>
    </row>
    <row r="307" customFormat="false" ht="15" hidden="false" customHeight="false" outlineLevel="0" collapsed="false">
      <c r="A307" s="18" t="n">
        <v>306</v>
      </c>
      <c r="B307" s="18" t="s">
        <v>45</v>
      </c>
      <c r="C307" s="18" t="s">
        <v>13</v>
      </c>
      <c r="D307" s="18" t="s">
        <v>16</v>
      </c>
      <c r="E307" s="18"/>
      <c r="F307" s="18"/>
      <c r="G307" s="18" t="s">
        <v>83</v>
      </c>
      <c r="H307" s="18"/>
      <c r="I307" s="18"/>
      <c r="J307" s="18" t="s">
        <v>56</v>
      </c>
      <c r="K307" s="18"/>
      <c r="L307" s="18"/>
    </row>
    <row r="308" customFormat="false" ht="15" hidden="false" customHeight="false" outlineLevel="0" collapsed="false">
      <c r="A308" s="18" t="n">
        <v>307</v>
      </c>
      <c r="B308" s="18" t="s">
        <v>33</v>
      </c>
      <c r="C308" s="18" t="s">
        <v>12</v>
      </c>
      <c r="D308" s="18" t="s">
        <v>16</v>
      </c>
      <c r="E308" s="18" t="s">
        <v>82</v>
      </c>
      <c r="F308" s="18" t="s">
        <v>82</v>
      </c>
      <c r="G308" s="18" t="s">
        <v>83</v>
      </c>
      <c r="H308" s="18" t="s">
        <v>83</v>
      </c>
      <c r="I308" s="18" t="s">
        <v>83</v>
      </c>
      <c r="J308" s="18" t="s">
        <v>52</v>
      </c>
      <c r="K308" s="18" t="s">
        <v>54</v>
      </c>
      <c r="L308" s="18" t="s">
        <v>54</v>
      </c>
    </row>
    <row r="309" customFormat="false" ht="15" hidden="false" customHeight="false" outlineLevel="0" collapsed="false">
      <c r="A309" s="18" t="n">
        <v>308</v>
      </c>
      <c r="B309" s="18" t="s">
        <v>40</v>
      </c>
      <c r="C309" s="18" t="s">
        <v>13</v>
      </c>
      <c r="D309" s="18" t="s">
        <v>15</v>
      </c>
      <c r="E309" s="18" t="s">
        <v>82</v>
      </c>
      <c r="F309" s="18" t="s">
        <v>82</v>
      </c>
      <c r="G309" s="18"/>
      <c r="H309" s="18" t="s">
        <v>84</v>
      </c>
      <c r="I309" s="18" t="s">
        <v>85</v>
      </c>
      <c r="J309" s="18"/>
      <c r="K309" s="18" t="s">
        <v>56</v>
      </c>
      <c r="L309" s="18" t="s">
        <v>56</v>
      </c>
    </row>
    <row r="310" customFormat="false" ht="15" hidden="false" customHeight="false" outlineLevel="0" collapsed="false">
      <c r="A310" s="18" t="n">
        <v>309</v>
      </c>
      <c r="B310" s="18" t="s">
        <v>28</v>
      </c>
      <c r="C310" s="18" t="s">
        <v>12</v>
      </c>
      <c r="D310" s="18" t="s">
        <v>15</v>
      </c>
      <c r="E310" s="18" t="s">
        <v>82</v>
      </c>
      <c r="F310" s="18" t="s">
        <v>82</v>
      </c>
      <c r="G310" s="18"/>
      <c r="H310" s="18" t="s">
        <v>84</v>
      </c>
      <c r="I310" s="18" t="s">
        <v>85</v>
      </c>
      <c r="J310" s="18"/>
      <c r="K310" s="18" t="s">
        <v>56</v>
      </c>
      <c r="L310" s="18" t="s">
        <v>56</v>
      </c>
    </row>
    <row r="311" customFormat="false" ht="15" hidden="false" customHeight="false" outlineLevel="0" collapsed="false">
      <c r="A311" s="18" t="n">
        <v>310</v>
      </c>
      <c r="B311" s="18" t="s">
        <v>39</v>
      </c>
      <c r="C311" s="18" t="s">
        <v>13</v>
      </c>
      <c r="D311" s="18" t="s">
        <v>17</v>
      </c>
      <c r="E311" s="18" t="s">
        <v>82</v>
      </c>
      <c r="F311" s="18" t="s">
        <v>82</v>
      </c>
      <c r="G311" s="18"/>
      <c r="H311" s="18" t="s">
        <v>84</v>
      </c>
      <c r="I311" s="18" t="s">
        <v>85</v>
      </c>
      <c r="J311" s="18"/>
      <c r="K311" s="18" t="s">
        <v>56</v>
      </c>
      <c r="L311" s="18" t="s">
        <v>53</v>
      </c>
    </row>
    <row r="312" customFormat="false" ht="15" hidden="false" customHeight="false" outlineLevel="0" collapsed="false">
      <c r="A312" s="18" t="n">
        <v>311</v>
      </c>
      <c r="B312" s="18" t="s">
        <v>44</v>
      </c>
      <c r="C312" s="18" t="s">
        <v>13</v>
      </c>
      <c r="D312" s="18" t="s">
        <v>16</v>
      </c>
      <c r="E312" s="18" t="s">
        <v>82</v>
      </c>
      <c r="F312" s="18" t="s">
        <v>82</v>
      </c>
      <c r="G312" s="18" t="s">
        <v>83</v>
      </c>
      <c r="H312" s="18" t="s">
        <v>83</v>
      </c>
      <c r="I312" s="18" t="s">
        <v>83</v>
      </c>
      <c r="J312" s="18" t="s">
        <v>54</v>
      </c>
      <c r="K312" s="18" t="s">
        <v>53</v>
      </c>
      <c r="L312" s="18" t="s">
        <v>52</v>
      </c>
    </row>
    <row r="313" customFormat="false" ht="15" hidden="false" customHeight="false" outlineLevel="0" collapsed="false">
      <c r="A313" s="18" t="n">
        <v>312</v>
      </c>
      <c r="B313" s="18" t="s">
        <v>40</v>
      </c>
      <c r="C313" s="18" t="s">
        <v>13</v>
      </c>
      <c r="D313" s="18" t="s">
        <v>15</v>
      </c>
      <c r="E313" s="18"/>
      <c r="F313" s="18" t="s">
        <v>87</v>
      </c>
      <c r="G313" s="18"/>
      <c r="H313" s="18" t="s">
        <v>84</v>
      </c>
      <c r="I313" s="18"/>
      <c r="J313" s="18"/>
      <c r="K313" s="18" t="s">
        <v>56</v>
      </c>
      <c r="L313" s="18"/>
    </row>
    <row r="314" customFormat="false" ht="15" hidden="false" customHeight="false" outlineLevel="0" collapsed="false">
      <c r="A314" s="18" t="n">
        <v>313</v>
      </c>
      <c r="B314" s="18" t="s">
        <v>37</v>
      </c>
      <c r="C314" s="18" t="s">
        <v>12</v>
      </c>
      <c r="D314" s="18" t="s">
        <v>16</v>
      </c>
      <c r="E314" s="18" t="s">
        <v>82</v>
      </c>
      <c r="F314" s="18" t="s">
        <v>82</v>
      </c>
      <c r="G314" s="18"/>
      <c r="H314" s="18" t="s">
        <v>84</v>
      </c>
      <c r="I314" s="18" t="s">
        <v>85</v>
      </c>
      <c r="J314" s="18"/>
      <c r="K314" s="18" t="s">
        <v>53</v>
      </c>
      <c r="L314" s="18" t="s">
        <v>53</v>
      </c>
    </row>
    <row r="315" customFormat="false" ht="15" hidden="false" customHeight="false" outlineLevel="0" collapsed="false">
      <c r="A315" s="18" t="n">
        <v>314</v>
      </c>
      <c r="B315" s="18" t="s">
        <v>28</v>
      </c>
      <c r="C315" s="18" t="s">
        <v>12</v>
      </c>
      <c r="D315" s="18" t="s">
        <v>15</v>
      </c>
      <c r="E315" s="18" t="s">
        <v>82</v>
      </c>
      <c r="F315" s="18"/>
      <c r="G315" s="18"/>
      <c r="H315" s="18"/>
      <c r="I315" s="18" t="s">
        <v>84</v>
      </c>
      <c r="J315" s="18"/>
      <c r="K315" s="18"/>
      <c r="L315" s="18" t="s">
        <v>56</v>
      </c>
    </row>
    <row r="316" customFormat="false" ht="15" hidden="false" customHeight="false" outlineLevel="0" collapsed="false">
      <c r="A316" s="18" t="n">
        <v>315</v>
      </c>
      <c r="B316" s="18" t="s">
        <v>27</v>
      </c>
      <c r="C316" s="18" t="s">
        <v>12</v>
      </c>
      <c r="D316" s="18" t="s">
        <v>15</v>
      </c>
      <c r="E316" s="18" t="s">
        <v>82</v>
      </c>
      <c r="F316" s="18"/>
      <c r="G316" s="18"/>
      <c r="H316" s="18"/>
      <c r="I316" s="18" t="s">
        <v>84</v>
      </c>
      <c r="J316" s="18"/>
      <c r="K316" s="18"/>
      <c r="L316" s="18" t="s">
        <v>56</v>
      </c>
    </row>
    <row r="317" customFormat="false" ht="15" hidden="false" customHeight="false" outlineLevel="0" collapsed="false">
      <c r="A317" s="18" t="n">
        <v>316</v>
      </c>
      <c r="B317" s="18" t="s">
        <v>37</v>
      </c>
      <c r="C317" s="18" t="s">
        <v>12</v>
      </c>
      <c r="D317" s="18" t="s">
        <v>16</v>
      </c>
      <c r="E317" s="18" t="s">
        <v>82</v>
      </c>
      <c r="F317" s="18" t="s">
        <v>82</v>
      </c>
      <c r="G317" s="18"/>
      <c r="H317" s="18" t="s">
        <v>86</v>
      </c>
      <c r="I317" s="18" t="s">
        <v>84</v>
      </c>
      <c r="J317" s="18"/>
      <c r="K317" s="18" t="s">
        <v>57</v>
      </c>
      <c r="L317" s="18" t="s">
        <v>56</v>
      </c>
    </row>
    <row r="318" customFormat="false" ht="15" hidden="false" customHeight="false" outlineLevel="0" collapsed="false">
      <c r="A318" s="18" t="n">
        <v>317</v>
      </c>
      <c r="B318" s="18" t="s">
        <v>30</v>
      </c>
      <c r="C318" s="18" t="s">
        <v>12</v>
      </c>
      <c r="D318" s="18" t="s">
        <v>15</v>
      </c>
      <c r="E318" s="18" t="s">
        <v>82</v>
      </c>
      <c r="F318" s="18"/>
      <c r="G318" s="18"/>
      <c r="H318" s="18"/>
      <c r="I318" s="18" t="s">
        <v>84</v>
      </c>
      <c r="J318" s="18"/>
      <c r="K318" s="18"/>
      <c r="L318" s="18" t="s">
        <v>56</v>
      </c>
    </row>
    <row r="319" customFormat="false" ht="15" hidden="false" customHeight="false" outlineLevel="0" collapsed="false">
      <c r="A319" s="18" t="n">
        <v>318</v>
      </c>
      <c r="B319" s="18" t="s">
        <v>28</v>
      </c>
      <c r="C319" s="18" t="s">
        <v>12</v>
      </c>
      <c r="D319" s="18" t="s">
        <v>15</v>
      </c>
      <c r="E319" s="18"/>
      <c r="F319" s="18" t="s">
        <v>87</v>
      </c>
      <c r="G319" s="18" t="s">
        <v>85</v>
      </c>
      <c r="H319" s="18" t="s">
        <v>83</v>
      </c>
      <c r="I319" s="18"/>
      <c r="J319" s="18" t="s">
        <v>56</v>
      </c>
      <c r="K319" s="18" t="s">
        <v>56</v>
      </c>
      <c r="L319" s="18"/>
    </row>
    <row r="320" customFormat="false" ht="15" hidden="false" customHeight="false" outlineLevel="0" collapsed="false">
      <c r="A320" s="18" t="n">
        <v>319</v>
      </c>
      <c r="B320" s="18" t="s">
        <v>43</v>
      </c>
      <c r="C320" s="18" t="s">
        <v>13</v>
      </c>
      <c r="D320" s="18" t="s">
        <v>16</v>
      </c>
      <c r="E320" s="18" t="s">
        <v>82</v>
      </c>
      <c r="F320" s="18" t="s">
        <v>82</v>
      </c>
      <c r="G320" s="18" t="s">
        <v>83</v>
      </c>
      <c r="H320" s="18" t="s">
        <v>83</v>
      </c>
      <c r="I320" s="18" t="s">
        <v>83</v>
      </c>
      <c r="J320" s="18" t="s">
        <v>53</v>
      </c>
      <c r="K320" s="18" t="s">
        <v>55</v>
      </c>
      <c r="L320" s="18" t="s">
        <v>53</v>
      </c>
    </row>
    <row r="321" customFormat="false" ht="15" hidden="false" customHeight="false" outlineLevel="0" collapsed="false">
      <c r="A321" s="18" t="n">
        <v>320</v>
      </c>
      <c r="B321" s="18" t="s">
        <v>45</v>
      </c>
      <c r="C321" s="18" t="s">
        <v>13</v>
      </c>
      <c r="D321" s="18" t="s">
        <v>16</v>
      </c>
      <c r="E321" s="18"/>
      <c r="F321" s="18" t="s">
        <v>82</v>
      </c>
      <c r="G321" s="18" t="s">
        <v>84</v>
      </c>
      <c r="H321" s="18" t="s">
        <v>85</v>
      </c>
      <c r="I321" s="18"/>
      <c r="J321" s="18" t="s">
        <v>56</v>
      </c>
      <c r="K321" s="18" t="s">
        <v>56</v>
      </c>
      <c r="L321" s="18"/>
    </row>
    <row r="322" customFormat="false" ht="15" hidden="false" customHeight="false" outlineLevel="0" collapsed="false">
      <c r="A322" s="18" t="n">
        <v>321</v>
      </c>
      <c r="B322" s="18" t="s">
        <v>27</v>
      </c>
      <c r="C322" s="18" t="s">
        <v>12</v>
      </c>
      <c r="D322" s="18" t="s">
        <v>15</v>
      </c>
      <c r="E322" s="18"/>
      <c r="F322" s="18"/>
      <c r="G322" s="18"/>
      <c r="H322" s="18"/>
      <c r="I322" s="18"/>
      <c r="J322" s="18"/>
      <c r="K322" s="18"/>
      <c r="L322" s="18"/>
    </row>
    <row r="323" customFormat="false" ht="15" hidden="false" customHeight="false" outlineLevel="0" collapsed="false">
      <c r="A323" s="18" t="n">
        <v>322</v>
      </c>
      <c r="B323" s="18" t="s">
        <v>36</v>
      </c>
      <c r="C323" s="18" t="s">
        <v>12</v>
      </c>
      <c r="D323" s="18" t="s">
        <v>16</v>
      </c>
      <c r="E323" s="18" t="s">
        <v>82</v>
      </c>
      <c r="F323" s="18"/>
      <c r="G323" s="18"/>
      <c r="H323" s="18"/>
      <c r="I323" s="18" t="s">
        <v>84</v>
      </c>
      <c r="J323" s="18"/>
      <c r="K323" s="18"/>
      <c r="L323" s="18" t="s">
        <v>56</v>
      </c>
    </row>
    <row r="324" customFormat="false" ht="15" hidden="false" customHeight="false" outlineLevel="0" collapsed="false">
      <c r="A324" s="18" t="n">
        <v>323</v>
      </c>
      <c r="B324" s="18" t="s">
        <v>40</v>
      </c>
      <c r="C324" s="18" t="s">
        <v>13</v>
      </c>
      <c r="D324" s="18" t="s">
        <v>15</v>
      </c>
      <c r="E324" s="18"/>
      <c r="F324" s="18"/>
      <c r="G324" s="18"/>
      <c r="H324" s="18"/>
      <c r="I324" s="18"/>
      <c r="J324" s="18"/>
      <c r="K324" s="18"/>
      <c r="L324" s="18"/>
    </row>
    <row r="325" customFormat="false" ht="15" hidden="false" customHeight="false" outlineLevel="0" collapsed="false">
      <c r="A325" s="18" t="n">
        <v>324</v>
      </c>
      <c r="B325" s="18" t="s">
        <v>29</v>
      </c>
      <c r="C325" s="18" t="s">
        <v>12</v>
      </c>
      <c r="D325" s="18" t="s">
        <v>15</v>
      </c>
      <c r="E325" s="18" t="s">
        <v>82</v>
      </c>
      <c r="F325" s="18"/>
      <c r="G325" s="18"/>
      <c r="H325" s="18"/>
      <c r="I325" s="18" t="s">
        <v>84</v>
      </c>
      <c r="J325" s="18"/>
      <c r="K325" s="18"/>
      <c r="L325" s="18" t="s">
        <v>56</v>
      </c>
    </row>
    <row r="326" customFormat="false" ht="15" hidden="false" customHeight="false" outlineLevel="0" collapsed="false">
      <c r="A326" s="18" t="n">
        <v>325</v>
      </c>
      <c r="B326" s="18" t="s">
        <v>40</v>
      </c>
      <c r="C326" s="18" t="s">
        <v>13</v>
      </c>
      <c r="D326" s="18" t="s">
        <v>15</v>
      </c>
      <c r="E326" s="18"/>
      <c r="F326" s="18" t="s">
        <v>82</v>
      </c>
      <c r="G326" s="18" t="s">
        <v>84</v>
      </c>
      <c r="H326" s="18" t="s">
        <v>85</v>
      </c>
      <c r="I326" s="18"/>
      <c r="J326" s="18" t="s">
        <v>56</v>
      </c>
      <c r="K326" s="18" t="s">
        <v>56</v>
      </c>
      <c r="L326" s="18"/>
    </row>
    <row r="327" customFormat="false" ht="15" hidden="false" customHeight="false" outlineLevel="0" collapsed="false">
      <c r="A327" s="18" t="n">
        <v>326</v>
      </c>
      <c r="B327" s="18" t="s">
        <v>45</v>
      </c>
      <c r="C327" s="18" t="s">
        <v>13</v>
      </c>
      <c r="D327" s="18" t="s">
        <v>16</v>
      </c>
      <c r="E327" s="18"/>
      <c r="F327" s="18"/>
      <c r="G327" s="18"/>
      <c r="H327" s="18"/>
      <c r="I327" s="18"/>
      <c r="J327" s="18"/>
      <c r="K327" s="18"/>
      <c r="L327" s="18"/>
    </row>
    <row r="328" customFormat="false" ht="15" hidden="false" customHeight="false" outlineLevel="0" collapsed="false">
      <c r="A328" s="18" t="n">
        <v>327</v>
      </c>
      <c r="B328" s="18" t="s">
        <v>28</v>
      </c>
      <c r="C328" s="18" t="s">
        <v>12</v>
      </c>
      <c r="D328" s="18" t="s">
        <v>15</v>
      </c>
      <c r="E328" s="18" t="s">
        <v>87</v>
      </c>
      <c r="F328" s="18"/>
      <c r="G328" s="18"/>
      <c r="H328" s="18"/>
      <c r="I328" s="18" t="s">
        <v>84</v>
      </c>
      <c r="J328" s="18"/>
      <c r="K328" s="18"/>
      <c r="L328" s="18" t="s">
        <v>56</v>
      </c>
    </row>
    <row r="329" customFormat="false" ht="15" hidden="false" customHeight="false" outlineLevel="0" collapsed="false">
      <c r="A329" s="18" t="n">
        <v>328</v>
      </c>
      <c r="B329" s="18" t="s">
        <v>40</v>
      </c>
      <c r="C329" s="18" t="s">
        <v>13</v>
      </c>
      <c r="D329" s="18" t="s">
        <v>15</v>
      </c>
      <c r="E329" s="18"/>
      <c r="F329" s="18" t="s">
        <v>87</v>
      </c>
      <c r="G329" s="18"/>
      <c r="H329" s="18" t="s">
        <v>84</v>
      </c>
      <c r="I329" s="18"/>
      <c r="J329" s="18"/>
      <c r="K329" s="18" t="s">
        <v>56</v>
      </c>
      <c r="L329" s="18"/>
    </row>
    <row r="330" customFormat="false" ht="15" hidden="false" customHeight="false" outlineLevel="0" collapsed="false">
      <c r="A330" s="18" t="n">
        <v>329</v>
      </c>
      <c r="B330" s="18" t="s">
        <v>29</v>
      </c>
      <c r="C330" s="18" t="s">
        <v>12</v>
      </c>
      <c r="D330" s="18" t="s">
        <v>15</v>
      </c>
      <c r="E330" s="18"/>
      <c r="F330" s="18"/>
      <c r="G330" s="18"/>
      <c r="H330" s="18"/>
      <c r="I330" s="18"/>
      <c r="J330" s="18"/>
      <c r="K330" s="18"/>
      <c r="L330" s="18"/>
    </row>
    <row r="331" customFormat="false" ht="15" hidden="false" customHeight="false" outlineLevel="0" collapsed="false">
      <c r="A331" s="18" t="n">
        <v>330</v>
      </c>
      <c r="B331" s="18" t="s">
        <v>25</v>
      </c>
      <c r="C331" s="18" t="s">
        <v>12</v>
      </c>
      <c r="D331" s="18" t="s">
        <v>15</v>
      </c>
      <c r="E331" s="18"/>
      <c r="F331" s="18"/>
      <c r="G331" s="18"/>
      <c r="H331" s="18"/>
      <c r="I331" s="18"/>
      <c r="J331" s="18"/>
      <c r="K331" s="18"/>
      <c r="L331" s="18"/>
    </row>
    <row r="332" customFormat="false" ht="15" hidden="false" customHeight="false" outlineLevel="0" collapsed="false">
      <c r="A332" s="18" t="n">
        <v>331</v>
      </c>
      <c r="B332" s="18" t="s">
        <v>41</v>
      </c>
      <c r="C332" s="18" t="s">
        <v>13</v>
      </c>
      <c r="D332" s="18" t="s">
        <v>16</v>
      </c>
      <c r="E332" s="18"/>
      <c r="F332" s="18" t="s">
        <v>87</v>
      </c>
      <c r="G332" s="18"/>
      <c r="H332" s="18" t="s">
        <v>84</v>
      </c>
      <c r="I332" s="18"/>
      <c r="J332" s="18"/>
      <c r="K332" s="18" t="s">
        <v>56</v>
      </c>
      <c r="L332" s="18"/>
    </row>
    <row r="333" customFormat="false" ht="15" hidden="false" customHeight="false" outlineLevel="0" collapsed="false">
      <c r="A333" s="18" t="n">
        <v>332</v>
      </c>
      <c r="B333" s="18" t="s">
        <v>26</v>
      </c>
      <c r="C333" s="18" t="s">
        <v>12</v>
      </c>
      <c r="D333" s="18" t="s">
        <v>15</v>
      </c>
      <c r="E333" s="18"/>
      <c r="F333" s="18"/>
      <c r="G333" s="18"/>
      <c r="H333" s="18"/>
      <c r="I333" s="18"/>
      <c r="J333" s="18"/>
      <c r="K333" s="18"/>
      <c r="L333" s="18"/>
    </row>
    <row r="334" customFormat="false" ht="15" hidden="false" customHeight="false" outlineLevel="0" collapsed="false">
      <c r="A334" s="18" t="n">
        <v>333</v>
      </c>
      <c r="B334" s="18" t="s">
        <v>26</v>
      </c>
      <c r="C334" s="18" t="s">
        <v>12</v>
      </c>
      <c r="D334" s="18" t="s">
        <v>15</v>
      </c>
      <c r="E334" s="18"/>
      <c r="F334" s="18"/>
      <c r="G334" s="18"/>
      <c r="H334" s="18"/>
      <c r="I334" s="18"/>
      <c r="J334" s="18"/>
      <c r="K334" s="18"/>
      <c r="L334" s="18"/>
    </row>
  </sheetData>
  <autoFilter ref="A1:L3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88</v>
      </c>
    </row>
    <row r="3" customFormat="false" ht="26.85" hidden="false" customHeight="false" outlineLevel="0" collapsed="false">
      <c r="A3" s="17" t="s">
        <v>89</v>
      </c>
      <c r="B3" s="21" t="s">
        <v>90</v>
      </c>
    </row>
    <row r="4" customFormat="false" ht="15" hidden="false" customHeight="false" outlineLevel="0" collapsed="false">
      <c r="A4" s="17" t="s">
        <v>91</v>
      </c>
      <c r="B4" s="21" t="s">
        <v>92</v>
      </c>
    </row>
    <row r="5" customFormat="false" ht="15" hidden="false" customHeight="false" outlineLevel="0" collapsed="false">
      <c r="A5" s="17" t="s">
        <v>93</v>
      </c>
      <c r="B5" s="21" t="s">
        <v>94</v>
      </c>
    </row>
    <row r="6" customFormat="false" ht="15" hidden="false" customHeight="false" outlineLevel="0" collapsed="false">
      <c r="A6" s="17" t="s">
        <v>95</v>
      </c>
      <c r="B6" s="21" t="s">
        <v>96</v>
      </c>
    </row>
    <row r="7" customFormat="false" ht="15" hidden="false" customHeight="false" outlineLevel="0" collapsed="false">
      <c r="A7" s="17" t="s">
        <v>97</v>
      </c>
      <c r="B7" s="21" t="s">
        <v>98</v>
      </c>
    </row>
    <row r="8" customFormat="false" ht="15" hidden="false" customHeight="false" outlineLevel="0" collapsed="false">
      <c r="A8" s="17" t="s">
        <v>99</v>
      </c>
      <c r="B8" s="21" t="s">
        <v>100</v>
      </c>
    </row>
    <row r="9" customFormat="false" ht="26.85" hidden="false" customHeight="false" outlineLevel="0" collapsed="false">
      <c r="A9" s="17" t="s">
        <v>101</v>
      </c>
      <c r="B9" s="21"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2026-10-16T07:29:17Z</dcterms:created>
  <dc:creator>openpyxl</dc:creator>
  <dc:description/>
  <dc:language>en-US</dc:language>
  <cp:lastModifiedBy/>
  <dcterms:modified xsi:type="dcterms:W3CDTF">2026-10-16T07:29:17Z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